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ataAnalytics\Healthcare\"/>
    </mc:Choice>
  </mc:AlternateContent>
  <xr:revisionPtr revIDLastSave="0" documentId="13_ncr:1_{6CDBDA39-23CA-418A-9264-A74D5FD98896}" xr6:coauthVersionLast="47" xr6:coauthVersionMax="47" xr10:uidLastSave="{00000000-0000-0000-0000-000000000000}"/>
  <bookViews>
    <workbookView xWindow="-108" yWindow="-108" windowWidth="23256" windowHeight="12456" activeTab="2" xr2:uid="{8C9CE38C-9CC3-4F57-AF04-6E5111825A2A}"/>
  </bookViews>
  <sheets>
    <sheet name="Raw_Data" sheetId="1" r:id="rId1"/>
    <sheet name="Pivot_Tables" sheetId="4" r:id="rId2"/>
    <sheet name="Dashboard" sheetId="2" r:id="rId3"/>
  </sheets>
  <definedNames>
    <definedName name="Slicer_City1">#N/A</definedName>
    <definedName name="Slicer_Department1">#N/A</definedName>
    <definedName name="Slicer_Visit_Type">#N/A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 i="1"/>
</calcChain>
</file>

<file path=xl/sharedStrings.xml><?xml version="1.0" encoding="utf-8"?>
<sst xmlns="http://schemas.openxmlformats.org/spreadsheetml/2006/main" count="1374" uniqueCount="60">
  <si>
    <t>Patient_ID</t>
  </si>
  <si>
    <t>Age</t>
  </si>
  <si>
    <t>Gender</t>
  </si>
  <si>
    <t>City</t>
  </si>
  <si>
    <t>Department</t>
  </si>
  <si>
    <t>Doctor</t>
  </si>
  <si>
    <t>Visit_Type</t>
  </si>
  <si>
    <t>Diagnosis</t>
  </si>
  <si>
    <t>Admission_Date</t>
  </si>
  <si>
    <t>Discharge_Date</t>
  </si>
  <si>
    <t>Cost</t>
  </si>
  <si>
    <t>Male</t>
  </si>
  <si>
    <t>Ahmedabad</t>
  </si>
  <si>
    <t>Cardiology</t>
  </si>
  <si>
    <t>Dr. Mehta</t>
  </si>
  <si>
    <t>OPD</t>
  </si>
  <si>
    <t>Hypertension</t>
  </si>
  <si>
    <t>Female</t>
  </si>
  <si>
    <t>Surat</t>
  </si>
  <si>
    <t>Neurology</t>
  </si>
  <si>
    <t>Dr. Shah</t>
  </si>
  <si>
    <t>IPD</t>
  </si>
  <si>
    <t>Migraine</t>
  </si>
  <si>
    <t>Vadodara</t>
  </si>
  <si>
    <t>Orthopedic</t>
  </si>
  <si>
    <t>Dr. Patel</t>
  </si>
  <si>
    <t>Fracture</t>
  </si>
  <si>
    <t>Heart Disease</t>
  </si>
  <si>
    <t>Rajkot</t>
  </si>
  <si>
    <t>Stroke</t>
  </si>
  <si>
    <t>Dermatology</t>
  </si>
  <si>
    <t>Dr. Joshi</t>
  </si>
  <si>
    <t>Skin Allergy</t>
  </si>
  <si>
    <t>Back Pain</t>
  </si>
  <si>
    <t>Acne</t>
  </si>
  <si>
    <t>Chest Pain</t>
  </si>
  <si>
    <t>Epilepsy</t>
  </si>
  <si>
    <t>Heart Attack</t>
  </si>
  <si>
    <t>Rash</t>
  </si>
  <si>
    <t>Joint Pain</t>
  </si>
  <si>
    <t>Arrhythmia</t>
  </si>
  <si>
    <t>Parkinson</t>
  </si>
  <si>
    <t>Month</t>
  </si>
  <si>
    <t>Length of Stay</t>
  </si>
  <si>
    <t>HOSPITAL PATIENT DASHBOARD
Overview of Key Metrics &amp; Patient Insights</t>
  </si>
  <si>
    <t>Grand Total</t>
  </si>
  <si>
    <t>Jan</t>
  </si>
  <si>
    <t>Feb</t>
  </si>
  <si>
    <t>Mar</t>
  </si>
  <si>
    <t>Apr</t>
  </si>
  <si>
    <t>May</t>
  </si>
  <si>
    <t>Jun</t>
  </si>
  <si>
    <t>Jul</t>
  </si>
  <si>
    <t>Aug</t>
  </si>
  <si>
    <t>Sep</t>
  </si>
  <si>
    <t>Oct</t>
  </si>
  <si>
    <t>Visit Type</t>
  </si>
  <si>
    <t>_</t>
  </si>
  <si>
    <t>Total Patients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</si>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</sst>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28"/>
      <color theme="0"/>
      <name val="Calibri"/>
      <family val="2"/>
      <scheme val="minor"/>
    </font>
  </fonts>
  <fills count="4">
    <fill>
      <patternFill patternType="none"/>
    </fill>
    <fill>
      <patternFill patternType="gray125"/>
    </fill>
    <fill>
      <patternFill patternType="solid">
        <fgColor rgb="FF0D47A1"/>
        <bgColor indexed="64"/>
      </patternFill>
    </fill>
    <fill>
      <patternFill patternType="solid">
        <fgColor rgb="FFF3F3F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wrapText="1"/>
    </xf>
    <xf numFmtId="0" fontId="0" fillId="0" borderId="0" xfId="0" applyNumberFormat="1"/>
    <xf numFmtId="0" fontId="1" fillId="3" borderId="0" xfId="0" applyFont="1" applyFill="1" applyAlignment="1">
      <alignment wrapText="1"/>
    </xf>
    <xf numFmtId="0" fontId="0" fillId="3" borderId="0" xfId="0" applyFill="1"/>
  </cellXfs>
  <cellStyles count="1">
    <cellStyle name="Normal" xfId="0" builtinId="0"/>
  </cellStyles>
  <dxfs count="6">
    <dxf>
      <font>
        <b/>
        <color theme="1"/>
      </font>
      <border>
        <bottom style="thin">
          <color theme="4"/>
        </bottom>
        <vertical/>
        <horizontal/>
      </border>
    </dxf>
    <dxf>
      <font>
        <color theme="1"/>
      </font>
      <border diagonalUp="0" diagonalDown="0">
        <left/>
        <right/>
        <top/>
        <bottom/>
        <vertical/>
        <horizontal/>
      </border>
    </dxf>
    <dxf>
      <numFmt numFmtId="0" formatCode="General"/>
    </dxf>
    <dxf>
      <numFmt numFmtId="0" formatCode="General"/>
    </dxf>
    <dxf>
      <numFmt numFmtId="19" formatCode="dd/mm/yyyy"/>
    </dxf>
    <dxf>
      <numFmt numFmtId="19" formatCode="dd/mm/yyyy"/>
    </dxf>
  </dxfs>
  <tableStyles count="1" defaultTableStyle="TableStyleMedium2" defaultPivotStyle="PivotStyleLight16">
    <tableStyle name="SlicerStyleDark1 2" pivot="0" table="0" count="10" xr9:uid="{E7CD8268-6DB7-4173-8BAC-27349C9FE350}">
      <tableStyleElement type="wholeTable" dxfId="1"/>
      <tableStyleElement type="headerRow" dxfId="0"/>
    </tableStyle>
  </tableStyles>
  <colors>
    <mruColors>
      <color rgb="FFF3F3F3"/>
      <color rgb="FF2F5597"/>
      <color rgb="FF1B5E20"/>
      <color rgb="FFFFFFFF"/>
      <color rgb="FF555555"/>
      <color rgb="FF4A148C"/>
      <color rgb="FFE65100"/>
      <color rgb="FF0D47A1"/>
      <color rgb="FFF3E5F5"/>
      <color rgb="FFFFF3E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 Project.xlsx]Pivot_Tables!PivotTable1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Patients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rgbClr val="2F55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Cardiology</c:v>
                </c:pt>
                <c:pt idx="1">
                  <c:v>Dermatology</c:v>
                </c:pt>
                <c:pt idx="2">
                  <c:v>Neurology</c:v>
                </c:pt>
                <c:pt idx="3">
                  <c:v>Orthopedic</c:v>
                </c:pt>
              </c:strCache>
            </c:strRef>
          </c:cat>
          <c:val>
            <c:numRef>
              <c:f>Pivot_Tables!$B$4:$B$8</c:f>
              <c:numCache>
                <c:formatCode>General</c:formatCode>
                <c:ptCount val="4"/>
                <c:pt idx="0">
                  <c:v>72</c:v>
                </c:pt>
                <c:pt idx="1">
                  <c:v>44</c:v>
                </c:pt>
                <c:pt idx="2">
                  <c:v>55</c:v>
                </c:pt>
                <c:pt idx="3">
                  <c:v>49</c:v>
                </c:pt>
              </c:numCache>
            </c:numRef>
          </c:val>
          <c:extLst>
            <c:ext xmlns:c16="http://schemas.microsoft.com/office/drawing/2014/chart" uri="{C3380CC4-5D6E-409C-BE32-E72D297353CC}">
              <c16:uniqueId val="{00000000-AD98-4A32-831B-9ACA70DCC61B}"/>
            </c:ext>
          </c:extLst>
        </c:ser>
        <c:dLbls>
          <c:showLegendKey val="0"/>
          <c:showVal val="0"/>
          <c:showCatName val="0"/>
          <c:showSerName val="0"/>
          <c:showPercent val="0"/>
          <c:showBubbleSize val="0"/>
        </c:dLbls>
        <c:gapWidth val="219"/>
        <c:overlap val="-27"/>
        <c:axId val="1390093567"/>
        <c:axId val="1390094047"/>
      </c:barChart>
      <c:catAx>
        <c:axId val="139009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094047"/>
        <c:crosses val="autoZero"/>
        <c:auto val="1"/>
        <c:lblAlgn val="ctr"/>
        <c:lblOffset val="100"/>
        <c:noMultiLvlLbl val="0"/>
      </c:catAx>
      <c:valAx>
        <c:axId val="139009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09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114300" dist="50800" dir="2700000" algn="tl" rotWithShape="0">
        <a:prstClr val="black">
          <a:alpha val="5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 Project.xlsx]Pivot_Tables!PivotTable2</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Revenue by Department</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1B5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5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B5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Pivot_Tables!$B$10</c:f>
              <c:strCache>
                <c:ptCount val="1"/>
                <c:pt idx="0">
                  <c:v>Total</c:v>
                </c:pt>
              </c:strCache>
            </c:strRef>
          </c:tx>
          <c:spPr>
            <a:solidFill>
              <a:srgbClr val="1B5E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Pivot_Tables!$A$11:$A$15</c:f>
              <c:strCache>
                <c:ptCount val="4"/>
                <c:pt idx="0">
                  <c:v>Cardiology</c:v>
                </c:pt>
                <c:pt idx="1">
                  <c:v>Dermatology</c:v>
                </c:pt>
                <c:pt idx="2">
                  <c:v>Neurology</c:v>
                </c:pt>
                <c:pt idx="3">
                  <c:v>Orthopedic</c:v>
                </c:pt>
              </c:strCache>
            </c:strRef>
          </c:cat>
          <c:val>
            <c:numRef>
              <c:f>Pivot_Tables!$B$11:$B$15</c:f>
              <c:numCache>
                <c:formatCode>General</c:formatCode>
                <c:ptCount val="4"/>
                <c:pt idx="0">
                  <c:v>412400</c:v>
                </c:pt>
                <c:pt idx="1">
                  <c:v>74800</c:v>
                </c:pt>
                <c:pt idx="2">
                  <c:v>611100</c:v>
                </c:pt>
                <c:pt idx="3">
                  <c:v>324100</c:v>
                </c:pt>
              </c:numCache>
            </c:numRef>
          </c:val>
          <c:extLst>
            <c:ext xmlns:c16="http://schemas.microsoft.com/office/drawing/2014/chart" uri="{C3380CC4-5D6E-409C-BE32-E72D297353CC}">
              <c16:uniqueId val="{00000000-9691-4AEC-8260-58EFC7EBA497}"/>
            </c:ext>
          </c:extLst>
        </c:ser>
        <c:dLbls>
          <c:dLblPos val="outEnd"/>
          <c:showLegendKey val="0"/>
          <c:showVal val="1"/>
          <c:showCatName val="0"/>
          <c:showSerName val="0"/>
          <c:showPercent val="0"/>
          <c:showBubbleSize val="0"/>
        </c:dLbls>
        <c:gapWidth val="219"/>
        <c:overlap val="-27"/>
        <c:axId val="1312217807"/>
        <c:axId val="1312216847"/>
      </c:barChart>
      <c:catAx>
        <c:axId val="131221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16847"/>
        <c:crosses val="autoZero"/>
        <c:auto val="1"/>
        <c:lblAlgn val="ctr"/>
        <c:lblOffset val="100"/>
        <c:noMultiLvlLbl val="0"/>
      </c:catAx>
      <c:valAx>
        <c:axId val="131221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114300" dist="50800" dir="2700000" algn="tl" rotWithShape="0">
        <a:prstClr val="black">
          <a:alpha val="5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 Project.xlsx]Pivot_Tables!PivotTable3</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Patients by City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Pivot_Tables!$B$17</c:f>
              <c:strCache>
                <c:ptCount val="1"/>
                <c:pt idx="0">
                  <c:v>Total</c:v>
                </c:pt>
              </c:strCache>
            </c:strRef>
          </c:tx>
          <c:spPr>
            <a:solidFill>
              <a:srgbClr val="2F55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Pivot_Tables!$A$18:$A$22</c:f>
              <c:strCache>
                <c:ptCount val="4"/>
                <c:pt idx="0">
                  <c:v>Ahmedabad</c:v>
                </c:pt>
                <c:pt idx="1">
                  <c:v>Rajkot</c:v>
                </c:pt>
                <c:pt idx="2">
                  <c:v>Surat</c:v>
                </c:pt>
                <c:pt idx="3">
                  <c:v>Vadodara</c:v>
                </c:pt>
              </c:strCache>
            </c:strRef>
          </c:cat>
          <c:val>
            <c:numRef>
              <c:f>Pivot_Tables!$B$18:$B$22</c:f>
              <c:numCache>
                <c:formatCode>General</c:formatCode>
                <c:ptCount val="4"/>
                <c:pt idx="0">
                  <c:v>71</c:v>
                </c:pt>
                <c:pt idx="1">
                  <c:v>44</c:v>
                </c:pt>
                <c:pt idx="2">
                  <c:v>61</c:v>
                </c:pt>
                <c:pt idx="3">
                  <c:v>44</c:v>
                </c:pt>
              </c:numCache>
            </c:numRef>
          </c:val>
          <c:extLst>
            <c:ext xmlns:c16="http://schemas.microsoft.com/office/drawing/2014/chart" uri="{C3380CC4-5D6E-409C-BE32-E72D297353CC}">
              <c16:uniqueId val="{00000000-4B9B-46AA-A0C0-CA21CB5657AA}"/>
            </c:ext>
          </c:extLst>
        </c:ser>
        <c:dLbls>
          <c:dLblPos val="outEnd"/>
          <c:showLegendKey val="0"/>
          <c:showVal val="1"/>
          <c:showCatName val="0"/>
          <c:showSerName val="0"/>
          <c:showPercent val="0"/>
          <c:showBubbleSize val="0"/>
        </c:dLbls>
        <c:gapWidth val="219"/>
        <c:overlap val="-27"/>
        <c:axId val="1620694799"/>
        <c:axId val="1620716399"/>
      </c:barChart>
      <c:catAx>
        <c:axId val="162069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16399"/>
        <c:crosses val="autoZero"/>
        <c:auto val="1"/>
        <c:lblAlgn val="ctr"/>
        <c:lblOffset val="100"/>
        <c:noMultiLvlLbl val="0"/>
      </c:catAx>
      <c:valAx>
        <c:axId val="162071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9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114300" dist="50800" dir="2700000" algn="tl" rotWithShape="0">
        <a:prstClr val="black">
          <a:alpha val="5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 Project.xlsx]Pivot_Tables!PivotTable4</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Visit Type Distribution</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DA-4ADD-821A-EBED3A69AF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DA-4ADD-821A-EBED3A69AF3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Pivot_Tables!$A$25:$A$27</c:f>
              <c:strCache>
                <c:ptCount val="2"/>
                <c:pt idx="0">
                  <c:v>IPD</c:v>
                </c:pt>
                <c:pt idx="1">
                  <c:v>OPD</c:v>
                </c:pt>
              </c:strCache>
            </c:strRef>
          </c:cat>
          <c:val>
            <c:numRef>
              <c:f>Pivot_Tables!$B$25:$B$27</c:f>
              <c:numCache>
                <c:formatCode>General</c:formatCode>
                <c:ptCount val="2"/>
                <c:pt idx="0">
                  <c:v>83</c:v>
                </c:pt>
                <c:pt idx="1">
                  <c:v>137</c:v>
                </c:pt>
              </c:numCache>
            </c:numRef>
          </c:val>
          <c:extLst>
            <c:ext xmlns:c16="http://schemas.microsoft.com/office/drawing/2014/chart" uri="{C3380CC4-5D6E-409C-BE32-E72D297353CC}">
              <c16:uniqueId val="{00000004-9FDA-4ADD-821A-EBED3A69AF3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114300" dist="50800" dir="2700000" algn="tl" rotWithShape="0">
        <a:prstClr val="black">
          <a:alpha val="5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 Project.xlsx]Pivot_Tables!PivotTable5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rgbClr val="1B5E20"/>
            </a:solidFill>
            <a:round/>
          </a:ln>
          <a:effectLst/>
        </c:spPr>
        <c:marker>
          <c:symbol val="circle"/>
          <c:size val="5"/>
          <c:spPr>
            <a:solidFill>
              <a:srgbClr val="1B5E20"/>
            </a:solidFill>
            <a:ln w="50800">
              <a:solidFill>
                <a:srgbClr val="1B5E2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Pivot_Tables!$E$3</c:f>
              <c:strCache>
                <c:ptCount val="1"/>
                <c:pt idx="0">
                  <c:v>Total</c:v>
                </c:pt>
              </c:strCache>
            </c:strRef>
          </c:tx>
          <c:spPr>
            <a:ln w="28575" cap="rnd">
              <a:solidFill>
                <a:srgbClr val="1B5E20"/>
              </a:solidFill>
              <a:round/>
            </a:ln>
            <a:effectLst/>
          </c:spPr>
          <c:marker>
            <c:symbol val="circle"/>
            <c:size val="5"/>
            <c:spPr>
              <a:solidFill>
                <a:srgbClr val="1B5E20"/>
              </a:solidFill>
              <a:ln w="50800">
                <a:solidFill>
                  <a:srgbClr val="1B5E2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Pivot_Tables!$D$4:$D$14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Pivot_Tables!$E$4:$E$14</c:f>
              <c:numCache>
                <c:formatCode>General</c:formatCode>
                <c:ptCount val="10"/>
                <c:pt idx="0">
                  <c:v>54300</c:v>
                </c:pt>
                <c:pt idx="1">
                  <c:v>65000</c:v>
                </c:pt>
                <c:pt idx="2">
                  <c:v>94200</c:v>
                </c:pt>
                <c:pt idx="3">
                  <c:v>150300</c:v>
                </c:pt>
                <c:pt idx="4">
                  <c:v>169600</c:v>
                </c:pt>
                <c:pt idx="5">
                  <c:v>203100</c:v>
                </c:pt>
                <c:pt idx="6">
                  <c:v>199400</c:v>
                </c:pt>
                <c:pt idx="7">
                  <c:v>207700</c:v>
                </c:pt>
                <c:pt idx="8">
                  <c:v>200400</c:v>
                </c:pt>
                <c:pt idx="9">
                  <c:v>78400</c:v>
                </c:pt>
              </c:numCache>
            </c:numRef>
          </c:val>
          <c:smooth val="0"/>
          <c:extLst>
            <c:ext xmlns:c16="http://schemas.microsoft.com/office/drawing/2014/chart" uri="{C3380CC4-5D6E-409C-BE32-E72D297353CC}">
              <c16:uniqueId val="{00000000-69D4-4F08-AFB4-699973472F86}"/>
            </c:ext>
          </c:extLst>
        </c:ser>
        <c:dLbls>
          <c:dLblPos val="t"/>
          <c:showLegendKey val="0"/>
          <c:showVal val="1"/>
          <c:showCatName val="0"/>
          <c:showSerName val="0"/>
          <c:showPercent val="0"/>
          <c:showBubbleSize val="0"/>
        </c:dLbls>
        <c:marker val="1"/>
        <c:smooth val="0"/>
        <c:axId val="1620732239"/>
        <c:axId val="1620731279"/>
      </c:lineChart>
      <c:catAx>
        <c:axId val="162073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31279"/>
        <c:crosses val="autoZero"/>
        <c:auto val="1"/>
        <c:lblAlgn val="ctr"/>
        <c:lblOffset val="100"/>
        <c:noMultiLvlLbl val="0"/>
      </c:catAx>
      <c:valAx>
        <c:axId val="162073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3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114300" dist="50800" dir="2700000" algn="tl" rotWithShape="0">
        <a:prstClr val="black">
          <a:alpha val="5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410127</xdr:colOff>
      <xdr:row>0</xdr:row>
      <xdr:rowOff>14243</xdr:rowOff>
    </xdr:from>
    <xdr:to>
      <xdr:col>5</xdr:col>
      <xdr:colOff>88079</xdr:colOff>
      <xdr:row>4</xdr:row>
      <xdr:rowOff>121763</xdr:rowOff>
    </xdr:to>
    <xdr:pic>
      <xdr:nvPicPr>
        <xdr:cNvPr id="7" name="Graphic 6" descr="Hospital">
          <a:extLst>
            <a:ext uri="{FF2B5EF4-FFF2-40B4-BE49-F238E27FC236}">
              <a16:creationId xmlns:a16="http://schemas.microsoft.com/office/drawing/2014/main" id="{A8B6F922-EC57-2444-1435-8D298EF53B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47473" y="14243"/>
          <a:ext cx="902849" cy="905127"/>
        </a:xfrm>
        <a:prstGeom prst="rect">
          <a:avLst/>
        </a:prstGeom>
      </xdr:spPr>
    </xdr:pic>
    <xdr:clientData/>
  </xdr:twoCellAnchor>
  <xdr:twoCellAnchor>
    <xdr:from>
      <xdr:col>1</xdr:col>
      <xdr:colOff>7620</xdr:colOff>
      <xdr:row>6</xdr:row>
      <xdr:rowOff>0</xdr:rowOff>
    </xdr:from>
    <xdr:to>
      <xdr:col>4</xdr:col>
      <xdr:colOff>594360</xdr:colOff>
      <xdr:row>11</xdr:row>
      <xdr:rowOff>175260</xdr:rowOff>
    </xdr:to>
    <xdr:sp macro="" textlink="">
      <xdr:nvSpPr>
        <xdr:cNvPr id="8" name="Rectangle: Rounded Corners 7">
          <a:extLst>
            <a:ext uri="{FF2B5EF4-FFF2-40B4-BE49-F238E27FC236}">
              <a16:creationId xmlns:a16="http://schemas.microsoft.com/office/drawing/2014/main" id="{3ECC9821-D19A-30FE-FE38-89C3EB28D1B4}"/>
            </a:ext>
          </a:extLst>
        </xdr:cNvPr>
        <xdr:cNvSpPr/>
      </xdr:nvSpPr>
      <xdr:spPr>
        <a:xfrm>
          <a:off x="617220" y="1257300"/>
          <a:ext cx="2415540" cy="1127760"/>
        </a:xfrm>
        <a:prstGeom prst="roundRect">
          <a:avLst/>
        </a:prstGeom>
        <a:solidFill>
          <a:srgbClr val="E8F0FE"/>
        </a:solidFill>
        <a:ln>
          <a:noFill/>
        </a:ln>
        <a:effectLst>
          <a:outerShdw blurRad="1016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6200" tIns="38100" rIns="76200" bIns="38100" rtlCol="0" anchor="t"/>
        <a:lstStyle/>
        <a:p>
          <a:pPr algn="ctr"/>
          <a:r>
            <a:rPr lang="en-IN" sz="1300">
              <a:solidFill>
                <a:srgbClr val="555555"/>
              </a:solidFill>
            </a:rPr>
            <a:t>Total Patients</a:t>
          </a:r>
        </a:p>
        <a:p>
          <a:pPr algn="ctr"/>
          <a:r>
            <a:rPr lang="en-IN" sz="3200" b="1">
              <a:solidFill>
                <a:srgbClr val="0D47A1"/>
              </a:solidFill>
            </a:rPr>
            <a:t>220</a:t>
          </a:r>
        </a:p>
      </xdr:txBody>
    </xdr:sp>
    <xdr:clientData/>
  </xdr:twoCellAnchor>
  <xdr:twoCellAnchor>
    <xdr:from>
      <xdr:col>6</xdr:col>
      <xdr:colOff>20672</xdr:colOff>
      <xdr:row>6</xdr:row>
      <xdr:rowOff>0</xdr:rowOff>
    </xdr:from>
    <xdr:to>
      <xdr:col>9</xdr:col>
      <xdr:colOff>583496</xdr:colOff>
      <xdr:row>11</xdr:row>
      <xdr:rowOff>175260</xdr:rowOff>
    </xdr:to>
    <xdr:sp macro="" textlink="">
      <xdr:nvSpPr>
        <xdr:cNvPr id="10" name="Rectangle: Rounded Corners 9">
          <a:extLst>
            <a:ext uri="{FF2B5EF4-FFF2-40B4-BE49-F238E27FC236}">
              <a16:creationId xmlns:a16="http://schemas.microsoft.com/office/drawing/2014/main" id="{382020C8-DC83-4743-B219-2503F7DEBA17}"/>
            </a:ext>
          </a:extLst>
        </xdr:cNvPr>
        <xdr:cNvSpPr/>
      </xdr:nvSpPr>
      <xdr:spPr>
        <a:xfrm>
          <a:off x="3678272" y="1257300"/>
          <a:ext cx="2391624" cy="1127760"/>
        </a:xfrm>
        <a:prstGeom prst="roundRect">
          <a:avLst/>
        </a:prstGeom>
        <a:solidFill>
          <a:srgbClr val="E8F5E9"/>
        </a:solidFill>
        <a:ln>
          <a:noFill/>
        </a:ln>
        <a:effectLst>
          <a:outerShdw blurRad="1016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6200" tIns="38100" rIns="76200" bIns="38100" rtlCol="0" anchor="t"/>
        <a:lstStyle/>
        <a:p>
          <a:pPr algn="ctr"/>
          <a:r>
            <a:rPr lang="en-IN" sz="1300">
              <a:solidFill>
                <a:srgbClr val="555555"/>
              </a:solidFill>
            </a:rPr>
            <a:t>Total Revenue</a:t>
          </a:r>
        </a:p>
        <a:p>
          <a:pPr algn="ctr"/>
          <a:r>
            <a:rPr lang="en-IN" sz="3200" b="1">
              <a:solidFill>
                <a:srgbClr val="1B5E20"/>
              </a:solidFill>
            </a:rPr>
            <a:t>₹14,22,400</a:t>
          </a:r>
        </a:p>
      </xdr:txBody>
    </xdr:sp>
    <xdr:clientData/>
  </xdr:twoCellAnchor>
  <xdr:twoCellAnchor>
    <xdr:from>
      <xdr:col>11</xdr:col>
      <xdr:colOff>9808</xdr:colOff>
      <xdr:row>6</xdr:row>
      <xdr:rowOff>0</xdr:rowOff>
    </xdr:from>
    <xdr:to>
      <xdr:col>14</xdr:col>
      <xdr:colOff>596548</xdr:colOff>
      <xdr:row>12</xdr:row>
      <xdr:rowOff>7620</xdr:rowOff>
    </xdr:to>
    <xdr:sp macro="" textlink="">
      <xdr:nvSpPr>
        <xdr:cNvPr id="11" name="Rectangle: Rounded Corners 10">
          <a:extLst>
            <a:ext uri="{FF2B5EF4-FFF2-40B4-BE49-F238E27FC236}">
              <a16:creationId xmlns:a16="http://schemas.microsoft.com/office/drawing/2014/main" id="{B4BCC907-9646-465C-A697-FC8F16AF5541}"/>
            </a:ext>
          </a:extLst>
        </xdr:cNvPr>
        <xdr:cNvSpPr/>
      </xdr:nvSpPr>
      <xdr:spPr>
        <a:xfrm>
          <a:off x="6715408" y="1257300"/>
          <a:ext cx="2415540" cy="1150620"/>
        </a:xfrm>
        <a:prstGeom prst="roundRect">
          <a:avLst/>
        </a:prstGeom>
        <a:solidFill>
          <a:srgbClr val="FFF3E0"/>
        </a:solidFill>
        <a:ln>
          <a:noFill/>
        </a:ln>
        <a:effectLst>
          <a:outerShdw blurRad="1016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6200" tIns="38100" rIns="76200" bIns="38100" rtlCol="0" anchor="t"/>
        <a:lstStyle/>
        <a:p>
          <a:pPr algn="ctr"/>
          <a:r>
            <a:rPr lang="en-IN" sz="1300">
              <a:solidFill>
                <a:srgbClr val="555555"/>
              </a:solidFill>
            </a:rPr>
            <a:t>Avg Cost per Patient</a:t>
          </a:r>
        </a:p>
        <a:p>
          <a:pPr algn="ctr"/>
          <a:r>
            <a:rPr lang="en-IN" sz="3200" b="1">
              <a:solidFill>
                <a:srgbClr val="E65100"/>
              </a:solidFill>
            </a:rPr>
            <a:t>₹6,465</a:t>
          </a:r>
        </a:p>
      </xdr:txBody>
    </xdr:sp>
    <xdr:clientData/>
  </xdr:twoCellAnchor>
  <xdr:twoCellAnchor>
    <xdr:from>
      <xdr:col>16</xdr:col>
      <xdr:colOff>22860</xdr:colOff>
      <xdr:row>6</xdr:row>
      <xdr:rowOff>0</xdr:rowOff>
    </xdr:from>
    <xdr:to>
      <xdr:col>20</xdr:col>
      <xdr:colOff>0</xdr:colOff>
      <xdr:row>11</xdr:row>
      <xdr:rowOff>175260</xdr:rowOff>
    </xdr:to>
    <xdr:sp macro="" textlink="">
      <xdr:nvSpPr>
        <xdr:cNvPr id="12" name="Rectangle: Rounded Corners 11">
          <a:extLst>
            <a:ext uri="{FF2B5EF4-FFF2-40B4-BE49-F238E27FC236}">
              <a16:creationId xmlns:a16="http://schemas.microsoft.com/office/drawing/2014/main" id="{D4F0786D-9171-4731-BEF3-880BB713C9FC}"/>
            </a:ext>
          </a:extLst>
        </xdr:cNvPr>
        <xdr:cNvSpPr/>
      </xdr:nvSpPr>
      <xdr:spPr>
        <a:xfrm>
          <a:off x="9776460" y="1257300"/>
          <a:ext cx="2415540" cy="1127760"/>
        </a:xfrm>
        <a:prstGeom prst="roundRect">
          <a:avLst/>
        </a:prstGeom>
        <a:solidFill>
          <a:srgbClr val="F3E5F5"/>
        </a:solidFill>
        <a:ln>
          <a:noFill/>
        </a:ln>
        <a:effectLst>
          <a:outerShdw blurRad="1016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6200" tIns="38100" rIns="76200" bIns="38100" rtlCol="0" anchor="t"/>
        <a:lstStyle/>
        <a:p>
          <a:pPr algn="ctr"/>
          <a:r>
            <a:rPr lang="en-IN" sz="1300">
              <a:solidFill>
                <a:srgbClr val="555555"/>
              </a:solidFill>
            </a:rPr>
            <a:t>Avg Length of Stay</a:t>
          </a:r>
        </a:p>
        <a:p>
          <a:pPr algn="ctr"/>
          <a:r>
            <a:rPr lang="en-IN" sz="3200" b="1">
              <a:solidFill>
                <a:srgbClr val="4A148C"/>
              </a:solidFill>
            </a:rPr>
            <a:t>2.2 Days</a:t>
          </a:r>
        </a:p>
      </xdr:txBody>
    </xdr:sp>
    <xdr:clientData/>
  </xdr:twoCellAnchor>
  <xdr:twoCellAnchor editAs="absolute">
    <xdr:from>
      <xdr:col>1</xdr:col>
      <xdr:colOff>0</xdr:colOff>
      <xdr:row>23</xdr:row>
      <xdr:rowOff>0</xdr:rowOff>
    </xdr:from>
    <xdr:to>
      <xdr:col>9</xdr:col>
      <xdr:colOff>601980</xdr:colOff>
      <xdr:row>36</xdr:row>
      <xdr:rowOff>175260</xdr:rowOff>
    </xdr:to>
    <xdr:graphicFrame macro="">
      <xdr:nvGraphicFramePr>
        <xdr:cNvPr id="15" name="Chart 14">
          <a:extLst>
            <a:ext uri="{FF2B5EF4-FFF2-40B4-BE49-F238E27FC236}">
              <a16:creationId xmlns:a16="http://schemas.microsoft.com/office/drawing/2014/main" id="{2AFD63AD-0B45-40B4-BB28-A2E357A55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0</xdr:colOff>
      <xdr:row>23</xdr:row>
      <xdr:rowOff>0</xdr:rowOff>
    </xdr:from>
    <xdr:to>
      <xdr:col>20</xdr:col>
      <xdr:colOff>7620</xdr:colOff>
      <xdr:row>36</xdr:row>
      <xdr:rowOff>167640</xdr:rowOff>
    </xdr:to>
    <xdr:graphicFrame macro="">
      <xdr:nvGraphicFramePr>
        <xdr:cNvPr id="16" name="Chart 15">
          <a:extLst>
            <a:ext uri="{FF2B5EF4-FFF2-40B4-BE49-F238E27FC236}">
              <a16:creationId xmlns:a16="http://schemas.microsoft.com/office/drawing/2014/main" id="{942F10CB-835C-49E3-B4F1-94B549F84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38</xdr:row>
      <xdr:rowOff>0</xdr:rowOff>
    </xdr:from>
    <xdr:to>
      <xdr:col>10</xdr:col>
      <xdr:colOff>0</xdr:colOff>
      <xdr:row>52</xdr:row>
      <xdr:rowOff>7620</xdr:rowOff>
    </xdr:to>
    <xdr:graphicFrame macro="">
      <xdr:nvGraphicFramePr>
        <xdr:cNvPr id="17" name="Chart 16">
          <a:extLst>
            <a:ext uri="{FF2B5EF4-FFF2-40B4-BE49-F238E27FC236}">
              <a16:creationId xmlns:a16="http://schemas.microsoft.com/office/drawing/2014/main" id="{18EFA506-32C9-4A05-9009-3DC3225B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38</xdr:row>
      <xdr:rowOff>0</xdr:rowOff>
    </xdr:from>
    <xdr:to>
      <xdr:col>20</xdr:col>
      <xdr:colOff>7620</xdr:colOff>
      <xdr:row>51</xdr:row>
      <xdr:rowOff>152400</xdr:rowOff>
    </xdr:to>
    <xdr:graphicFrame macro="">
      <xdr:nvGraphicFramePr>
        <xdr:cNvPr id="18" name="Chart 17">
          <a:extLst>
            <a:ext uri="{FF2B5EF4-FFF2-40B4-BE49-F238E27FC236}">
              <a16:creationId xmlns:a16="http://schemas.microsoft.com/office/drawing/2014/main" id="{B1E4C585-769F-47D4-96FE-16E27B2CB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0</xdr:colOff>
      <xdr:row>53</xdr:row>
      <xdr:rowOff>0</xdr:rowOff>
    </xdr:from>
    <xdr:to>
      <xdr:col>20</xdr:col>
      <xdr:colOff>7620</xdr:colOff>
      <xdr:row>68</xdr:row>
      <xdr:rowOff>0</xdr:rowOff>
    </xdr:to>
    <xdr:graphicFrame macro="">
      <xdr:nvGraphicFramePr>
        <xdr:cNvPr id="19" name="Chart 18">
          <a:extLst>
            <a:ext uri="{FF2B5EF4-FFF2-40B4-BE49-F238E27FC236}">
              <a16:creationId xmlns:a16="http://schemas.microsoft.com/office/drawing/2014/main" id="{9C9B7685-0DB1-4B65-B71F-1FA16772D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34018</xdr:colOff>
      <xdr:row>13</xdr:row>
      <xdr:rowOff>13608</xdr:rowOff>
    </xdr:from>
    <xdr:to>
      <xdr:col>7</xdr:col>
      <xdr:colOff>49258</xdr:colOff>
      <xdr:row>21</xdr:row>
      <xdr:rowOff>36467</xdr:rowOff>
    </xdr:to>
    <mc:AlternateContent xmlns:mc="http://schemas.openxmlformats.org/markup-compatibility/2006">
      <mc:Choice xmlns:a14="http://schemas.microsoft.com/office/drawing/2010/main" Requires="a14">
        <xdr:graphicFrame macro="">
          <xdr:nvGraphicFramePr>
            <xdr:cNvPr id="20" name="City 1">
              <a:extLst>
                <a:ext uri="{FF2B5EF4-FFF2-40B4-BE49-F238E27FC236}">
                  <a16:creationId xmlns:a16="http://schemas.microsoft.com/office/drawing/2014/main" id="{67156C67-5F1E-3A96-1935-22E53D6F115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472418" y="2512968"/>
              <a:ext cx="184404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584835</xdr:colOff>
      <xdr:row>13</xdr:row>
      <xdr:rowOff>0</xdr:rowOff>
    </xdr:from>
    <xdr:to>
      <xdr:col>11</xdr:col>
      <xdr:colOff>596265</xdr:colOff>
      <xdr:row>21</xdr:row>
      <xdr:rowOff>7620</xdr:rowOff>
    </xdr:to>
    <mc:AlternateContent xmlns:mc="http://schemas.openxmlformats.org/markup-compatibility/2006">
      <mc:Choice xmlns:a14="http://schemas.microsoft.com/office/drawing/2010/main" Requires="a14">
        <xdr:graphicFrame macro="">
          <xdr:nvGraphicFramePr>
            <xdr:cNvPr id="21" name="Department 1">
              <a:extLst>
                <a:ext uri="{FF2B5EF4-FFF2-40B4-BE49-F238E27FC236}">
                  <a16:creationId xmlns:a16="http://schemas.microsoft.com/office/drawing/2014/main" id="{1BE69CE8-352A-DB5D-9E36-0EAF870F38F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461635" y="2499360"/>
              <a:ext cx="184023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556260</xdr:colOff>
      <xdr:row>13</xdr:row>
      <xdr:rowOff>0</xdr:rowOff>
    </xdr:from>
    <xdr:to>
      <xdr:col>17</xdr:col>
      <xdr:colOff>15240</xdr:colOff>
      <xdr:row>21</xdr:row>
      <xdr:rowOff>53339</xdr:rowOff>
    </xdr:to>
    <mc:AlternateContent xmlns:mc="http://schemas.openxmlformats.org/markup-compatibility/2006">
      <mc:Choice xmlns:a14="http://schemas.microsoft.com/office/drawing/2010/main" Requires="a14">
        <xdr:graphicFrame macro="">
          <xdr:nvGraphicFramePr>
            <xdr:cNvPr id="22" name="Visit_Type">
              <a:extLst>
                <a:ext uri="{FF2B5EF4-FFF2-40B4-BE49-F238E27FC236}">
                  <a16:creationId xmlns:a16="http://schemas.microsoft.com/office/drawing/2014/main" id="{5EFD2C61-F281-2535-F524-8AD69FF56D05}"/>
                </a:ext>
              </a:extLst>
            </xdr:cNvPr>
            <xdr:cNvGraphicFramePr/>
          </xdr:nvGraphicFramePr>
          <xdr:xfrm>
            <a:off x="0" y="0"/>
            <a:ext cx="0" cy="0"/>
          </xdr:xfrm>
          <a:graphic>
            <a:graphicData uri="http://schemas.microsoft.com/office/drawing/2010/slicer">
              <sle:slicer xmlns:sle="http://schemas.microsoft.com/office/drawing/2010/slicer" name="Visit_Type"/>
            </a:graphicData>
          </a:graphic>
        </xdr:graphicFrame>
      </mc:Choice>
      <mc:Fallback>
        <xdr:sp macro="" textlink="">
          <xdr:nvSpPr>
            <xdr:cNvPr id="0" name=""/>
            <xdr:cNvSpPr>
              <a:spLocks noTextEdit="1"/>
            </xdr:cNvSpPr>
          </xdr:nvSpPr>
          <xdr:spPr>
            <a:xfrm>
              <a:off x="8481060" y="2499360"/>
              <a:ext cx="189738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35.476134143515" createdVersion="8" refreshedVersion="8" minRefreshableVersion="3" recordCount="220" xr:uid="{A8A8C6EE-6349-424F-8FE7-5BD1A92ACEF6}">
  <cacheSource type="worksheet">
    <worksheetSource name="Table1"/>
  </cacheSource>
  <cacheFields count="13">
    <cacheField name="Patient_ID" numFmtId="0">
      <sharedItems containsSemiMixedTypes="0" containsString="0" containsNumber="1" containsInteger="1" minValue="101" maxValue="320"/>
    </cacheField>
    <cacheField name="Age" numFmtId="0">
      <sharedItems containsSemiMixedTypes="0" containsString="0" containsNumber="1" containsInteger="1" minValue="25" maxValue="65"/>
    </cacheField>
    <cacheField name="Gender" numFmtId="0">
      <sharedItems/>
    </cacheField>
    <cacheField name="City" numFmtId="0">
      <sharedItems count="4">
        <s v="Ahmedabad"/>
        <s v="Surat"/>
        <s v="Vadodara"/>
        <s v="Rajkot"/>
      </sharedItems>
    </cacheField>
    <cacheField name="Department" numFmtId="0">
      <sharedItems count="4">
        <s v="Cardiology"/>
        <s v="Neurology"/>
        <s v="Orthopedic"/>
        <s v="Dermatology"/>
      </sharedItems>
    </cacheField>
    <cacheField name="Doctor" numFmtId="0">
      <sharedItems/>
    </cacheField>
    <cacheField name="Visit_Type" numFmtId="0">
      <sharedItems count="2">
        <s v="OPD"/>
        <s v="IPD"/>
      </sharedItems>
    </cacheField>
    <cacheField name="Diagnosis" numFmtId="0">
      <sharedItems/>
    </cacheField>
    <cacheField name="Admission_Date" numFmtId="14">
      <sharedItems containsSemiMixedTypes="0" containsNonDate="0" containsDate="1" containsString="0" minDate="2024-01-05T00:00:00" maxDate="2024-10-11T00:00:00"/>
    </cacheField>
    <cacheField name="Discharge_Date" numFmtId="14">
      <sharedItems containsSemiMixedTypes="0" containsNonDate="0" containsDate="1" containsString="0" minDate="2024-01-05T00:00:00" maxDate="2024-10-16T00:00:00"/>
    </cacheField>
    <cacheField name="Cost" numFmtId="0">
      <sharedItems containsSemiMixedTypes="0" containsString="0" containsNumber="1" containsInteger="1" minValue="1200" maxValue="17500"/>
    </cacheField>
    <cacheField name="Month" numFmtId="0">
      <sharedItems count="10">
        <s v="Jan"/>
        <s v="Feb"/>
        <s v="Mar"/>
        <s v="Apr"/>
        <s v="May"/>
        <s v="Jun"/>
        <s v="Jul"/>
        <s v="Aug"/>
        <s v="Sep"/>
        <s v="Oct"/>
      </sharedItems>
    </cacheField>
    <cacheField name="Length of Stay"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56783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01"/>
    <n v="25"/>
    <s v="Male"/>
    <x v="0"/>
    <x v="0"/>
    <s v="Dr. Mehta"/>
    <x v="0"/>
    <s v="Hypertension"/>
    <d v="2024-01-05T00:00:00"/>
    <d v="2024-01-05T00:00:00"/>
    <n v="2000"/>
    <x v="0"/>
    <n v="0"/>
  </r>
  <r>
    <n v="102"/>
    <n v="32"/>
    <s v="Female"/>
    <x v="1"/>
    <x v="1"/>
    <s v="Dr. Shah"/>
    <x v="1"/>
    <s v="Migraine"/>
    <d v="2024-01-10T00:00:00"/>
    <d v="2024-01-14T00:00:00"/>
    <n v="8000"/>
    <x v="0"/>
    <n v="4"/>
  </r>
  <r>
    <n v="103"/>
    <n v="45"/>
    <s v="Male"/>
    <x v="2"/>
    <x v="2"/>
    <s v="Dr. Patel"/>
    <x v="0"/>
    <s v="Fracture"/>
    <d v="2024-01-12T00:00:00"/>
    <d v="2024-01-12T00:00:00"/>
    <n v="3500"/>
    <x v="0"/>
    <n v="0"/>
  </r>
  <r>
    <n v="104"/>
    <n v="29"/>
    <s v="Female"/>
    <x v="0"/>
    <x v="0"/>
    <s v="Dr. Mehta"/>
    <x v="1"/>
    <s v="Heart Disease"/>
    <d v="2024-01-15T00:00:00"/>
    <d v="2024-01-20T00:00:00"/>
    <n v="12000"/>
    <x v="0"/>
    <n v="5"/>
  </r>
  <r>
    <n v="105"/>
    <n v="50"/>
    <s v="Male"/>
    <x v="3"/>
    <x v="1"/>
    <s v="Dr. Shah"/>
    <x v="0"/>
    <s v="Stroke"/>
    <d v="2024-01-18T00:00:00"/>
    <d v="2024-01-18T00:00:00"/>
    <n v="4000"/>
    <x v="0"/>
    <n v="0"/>
  </r>
  <r>
    <n v="106"/>
    <n v="38"/>
    <s v="Female"/>
    <x v="1"/>
    <x v="3"/>
    <s v="Dr. Joshi"/>
    <x v="0"/>
    <s v="Skin Allergy"/>
    <d v="2024-01-20T00:00:00"/>
    <d v="2024-01-20T00:00:00"/>
    <n v="1500"/>
    <x v="0"/>
    <n v="0"/>
  </r>
  <r>
    <n v="107"/>
    <n v="41"/>
    <s v="Male"/>
    <x v="2"/>
    <x v="2"/>
    <s v="Dr. Patel"/>
    <x v="1"/>
    <s v="Back Pain"/>
    <d v="2024-01-22T00:00:00"/>
    <d v="2024-01-26T00:00:00"/>
    <n v="9000"/>
    <x v="0"/>
    <n v="4"/>
  </r>
  <r>
    <n v="108"/>
    <n v="27"/>
    <s v="Female"/>
    <x v="0"/>
    <x v="3"/>
    <s v="Dr. Joshi"/>
    <x v="0"/>
    <s v="Acne"/>
    <d v="2024-01-25T00:00:00"/>
    <d v="2024-01-25T00:00:00"/>
    <n v="1800"/>
    <x v="0"/>
    <n v="0"/>
  </r>
  <r>
    <n v="109"/>
    <n v="36"/>
    <s v="Male"/>
    <x v="3"/>
    <x v="0"/>
    <s v="Dr. Mehta"/>
    <x v="0"/>
    <s v="Chest Pain"/>
    <d v="2024-01-27T00:00:00"/>
    <d v="2024-01-27T00:00:00"/>
    <n v="2500"/>
    <x v="0"/>
    <n v="0"/>
  </r>
  <r>
    <n v="110"/>
    <n v="48"/>
    <s v="Female"/>
    <x v="1"/>
    <x v="1"/>
    <s v="Dr. Shah"/>
    <x v="1"/>
    <s v="Epilepsy"/>
    <d v="2024-01-28T00:00:00"/>
    <d v="2024-02-02T00:00:00"/>
    <n v="10000"/>
    <x v="0"/>
    <n v="5"/>
  </r>
  <r>
    <n v="111"/>
    <n v="55"/>
    <s v="Male"/>
    <x v="0"/>
    <x v="0"/>
    <s v="Dr. Mehta"/>
    <x v="1"/>
    <s v="Heart Attack"/>
    <d v="2024-02-03T00:00:00"/>
    <d v="2024-02-10T00:00:00"/>
    <n v="15000"/>
    <x v="1"/>
    <n v="7"/>
  </r>
  <r>
    <n v="112"/>
    <n v="33"/>
    <s v="Female"/>
    <x v="2"/>
    <x v="3"/>
    <s v="Dr. Joshi"/>
    <x v="0"/>
    <s v="Rash"/>
    <d v="2024-02-05T00:00:00"/>
    <d v="2024-02-05T00:00:00"/>
    <n v="1200"/>
    <x v="1"/>
    <n v="0"/>
  </r>
  <r>
    <n v="113"/>
    <n v="42"/>
    <s v="Male"/>
    <x v="1"/>
    <x v="2"/>
    <s v="Dr. Patel"/>
    <x v="0"/>
    <s v="Joint Pain"/>
    <d v="2024-02-07T00:00:00"/>
    <d v="2024-02-07T00:00:00"/>
    <n v="3000"/>
    <x v="1"/>
    <n v="0"/>
  </r>
  <r>
    <n v="114"/>
    <n v="26"/>
    <s v="Female"/>
    <x v="3"/>
    <x v="0"/>
    <s v="Dr. Mehta"/>
    <x v="0"/>
    <s v="Arrhythmia"/>
    <d v="2024-02-09T00:00:00"/>
    <d v="2024-02-09T00:00:00"/>
    <n v="2800"/>
    <x v="1"/>
    <n v="0"/>
  </r>
  <r>
    <n v="115"/>
    <n v="60"/>
    <s v="Male"/>
    <x v="0"/>
    <x v="1"/>
    <s v="Dr. Shah"/>
    <x v="1"/>
    <s v="Parkinson"/>
    <d v="2024-02-12T00:00:00"/>
    <d v="2024-02-18T00:00:00"/>
    <n v="14000"/>
    <x v="1"/>
    <n v="6"/>
  </r>
  <r>
    <n v="116"/>
    <n v="39"/>
    <s v="Female"/>
    <x v="1"/>
    <x v="0"/>
    <s v="Dr. Mehta"/>
    <x v="0"/>
    <s v="Hypertension"/>
    <d v="2024-02-15T00:00:00"/>
    <d v="2024-02-15T00:00:00"/>
    <n v="2200"/>
    <x v="1"/>
    <n v="0"/>
  </r>
  <r>
    <n v="117"/>
    <n v="47"/>
    <s v="Male"/>
    <x v="2"/>
    <x v="2"/>
    <s v="Dr. Patel"/>
    <x v="1"/>
    <s v="Fracture"/>
    <d v="2024-02-18T00:00:00"/>
    <d v="2024-02-24T00:00:00"/>
    <n v="9500"/>
    <x v="1"/>
    <n v="6"/>
  </r>
  <r>
    <n v="118"/>
    <n v="28"/>
    <s v="Female"/>
    <x v="0"/>
    <x v="3"/>
    <s v="Dr. Joshi"/>
    <x v="0"/>
    <s v="Acne"/>
    <d v="2024-02-20T00:00:00"/>
    <d v="2024-02-20T00:00:00"/>
    <n v="1700"/>
    <x v="1"/>
    <n v="0"/>
  </r>
  <r>
    <n v="119"/>
    <n v="52"/>
    <s v="Male"/>
    <x v="3"/>
    <x v="1"/>
    <s v="Dr. Shah"/>
    <x v="1"/>
    <s v="Stroke"/>
    <d v="2024-02-22T00:00:00"/>
    <d v="2024-02-28T00:00:00"/>
    <n v="13000"/>
    <x v="1"/>
    <n v="6"/>
  </r>
  <r>
    <n v="120"/>
    <n v="31"/>
    <s v="Female"/>
    <x v="1"/>
    <x v="0"/>
    <s v="Dr. Mehta"/>
    <x v="0"/>
    <s v="Chest Pain"/>
    <d v="2024-02-25T00:00:00"/>
    <d v="2024-02-25T00:00:00"/>
    <n v="2600"/>
    <x v="1"/>
    <n v="0"/>
  </r>
  <r>
    <n v="121"/>
    <n v="44"/>
    <s v="Male"/>
    <x v="0"/>
    <x v="2"/>
    <s v="Dr. Patel"/>
    <x v="0"/>
    <s v="Back Pain"/>
    <d v="2024-03-01T00:00:00"/>
    <d v="2024-03-01T00:00:00"/>
    <n v="3200"/>
    <x v="2"/>
    <n v="0"/>
  </r>
  <r>
    <n v="122"/>
    <n v="29"/>
    <s v="Female"/>
    <x v="1"/>
    <x v="3"/>
    <s v="Dr. Joshi"/>
    <x v="0"/>
    <s v="Skin Allergy"/>
    <d v="2024-03-02T00:00:00"/>
    <d v="2024-03-02T00:00:00"/>
    <n v="1600"/>
    <x v="2"/>
    <n v="0"/>
  </r>
  <r>
    <n v="123"/>
    <n v="58"/>
    <s v="Male"/>
    <x v="2"/>
    <x v="1"/>
    <s v="Dr. Shah"/>
    <x v="1"/>
    <s v="Stroke"/>
    <d v="2024-03-03T00:00:00"/>
    <d v="2024-03-09T00:00:00"/>
    <n v="14500"/>
    <x v="2"/>
    <n v="6"/>
  </r>
  <r>
    <n v="124"/>
    <n v="35"/>
    <s v="Female"/>
    <x v="3"/>
    <x v="0"/>
    <s v="Dr. Mehta"/>
    <x v="0"/>
    <s v="Hypertension"/>
    <d v="2024-03-05T00:00:00"/>
    <d v="2024-03-05T00:00:00"/>
    <n v="2400"/>
    <x v="2"/>
    <n v="0"/>
  </r>
  <r>
    <n v="125"/>
    <n v="46"/>
    <s v="Male"/>
    <x v="0"/>
    <x v="2"/>
    <s v="Dr. Patel"/>
    <x v="1"/>
    <s v="Fracture"/>
    <d v="2024-03-06T00:00:00"/>
    <d v="2024-03-12T00:00:00"/>
    <n v="9800"/>
    <x v="2"/>
    <n v="6"/>
  </r>
  <r>
    <n v="126"/>
    <n v="30"/>
    <s v="Female"/>
    <x v="1"/>
    <x v="0"/>
    <s v="Dr. Mehta"/>
    <x v="0"/>
    <s v="Chest Pain"/>
    <d v="2024-03-08T00:00:00"/>
    <d v="2024-03-08T00:00:00"/>
    <n v="2700"/>
    <x v="2"/>
    <n v="0"/>
  </r>
  <r>
    <n v="127"/>
    <n v="41"/>
    <s v="Male"/>
    <x v="2"/>
    <x v="1"/>
    <s v="Dr. Shah"/>
    <x v="0"/>
    <s v="Migraine"/>
    <d v="2024-03-10T00:00:00"/>
    <d v="2024-03-10T00:00:00"/>
    <n v="3500"/>
    <x v="2"/>
    <n v="0"/>
  </r>
  <r>
    <n v="128"/>
    <n v="27"/>
    <s v="Female"/>
    <x v="0"/>
    <x v="3"/>
    <s v="Dr. Joshi"/>
    <x v="0"/>
    <s v="Acne"/>
    <d v="2024-03-12T00:00:00"/>
    <d v="2024-03-12T00:00:00"/>
    <n v="1800"/>
    <x v="2"/>
    <n v="0"/>
  </r>
  <r>
    <n v="129"/>
    <n v="53"/>
    <s v="Male"/>
    <x v="3"/>
    <x v="0"/>
    <s v="Dr. Mehta"/>
    <x v="1"/>
    <s v="Heart Disease"/>
    <d v="2024-03-14T00:00:00"/>
    <d v="2024-03-20T00:00:00"/>
    <n v="13500"/>
    <x v="2"/>
    <n v="6"/>
  </r>
  <r>
    <n v="130"/>
    <n v="37"/>
    <s v="Female"/>
    <x v="1"/>
    <x v="2"/>
    <s v="Dr. Patel"/>
    <x v="0"/>
    <s v="Joint Pain"/>
    <d v="2024-03-15T00:00:00"/>
    <d v="2024-03-15T00:00:00"/>
    <n v="3100"/>
    <x v="2"/>
    <n v="0"/>
  </r>
  <r>
    <n v="131"/>
    <n v="49"/>
    <s v="Male"/>
    <x v="0"/>
    <x v="1"/>
    <s v="Dr. Shah"/>
    <x v="1"/>
    <s v="Epilepsy"/>
    <d v="2024-03-18T00:00:00"/>
    <d v="2024-03-24T00:00:00"/>
    <n v="12000"/>
    <x v="2"/>
    <n v="6"/>
  </r>
  <r>
    <n v="132"/>
    <n v="34"/>
    <s v="Female"/>
    <x v="2"/>
    <x v="0"/>
    <s v="Dr. Mehta"/>
    <x v="0"/>
    <s v="Arrhythmia"/>
    <d v="2024-03-20T00:00:00"/>
    <d v="2024-03-20T00:00:00"/>
    <n v="2900"/>
    <x v="2"/>
    <n v="0"/>
  </r>
  <r>
    <n v="133"/>
    <n v="56"/>
    <s v="Male"/>
    <x v="3"/>
    <x v="2"/>
    <s v="Dr. Patel"/>
    <x v="1"/>
    <s v="Back Pain"/>
    <d v="2024-03-22T00:00:00"/>
    <d v="2024-03-28T00:00:00"/>
    <n v="10200"/>
    <x v="2"/>
    <n v="6"/>
  </r>
  <r>
    <n v="134"/>
    <n v="28"/>
    <s v="Female"/>
    <x v="0"/>
    <x v="3"/>
    <s v="Dr. Joshi"/>
    <x v="0"/>
    <s v="Rash"/>
    <d v="2024-03-25T00:00:00"/>
    <d v="2024-03-25T00:00:00"/>
    <n v="1400"/>
    <x v="2"/>
    <n v="0"/>
  </r>
  <r>
    <n v="135"/>
    <n v="45"/>
    <s v="Male"/>
    <x v="1"/>
    <x v="0"/>
    <s v="Dr. Mehta"/>
    <x v="0"/>
    <s v="Hypertension"/>
    <d v="2024-03-27T00:00:00"/>
    <d v="2024-03-27T00:00:00"/>
    <n v="2600"/>
    <x v="2"/>
    <n v="0"/>
  </r>
  <r>
    <n v="136"/>
    <n v="38"/>
    <s v="Female"/>
    <x v="2"/>
    <x v="1"/>
    <s v="Dr. Shah"/>
    <x v="1"/>
    <s v="Migraine"/>
    <d v="2024-03-28T00:00:00"/>
    <d v="2024-04-02T00:00:00"/>
    <n v="9000"/>
    <x v="2"/>
    <n v="5"/>
  </r>
  <r>
    <n v="137"/>
    <n v="51"/>
    <s v="Male"/>
    <x v="0"/>
    <x v="2"/>
    <s v="Dr. Patel"/>
    <x v="0"/>
    <s v="Joint Pain"/>
    <d v="2024-04-01T00:00:00"/>
    <d v="2024-04-01T00:00:00"/>
    <n v="3300"/>
    <x v="3"/>
    <n v="0"/>
  </r>
  <r>
    <n v="138"/>
    <n v="33"/>
    <s v="Female"/>
    <x v="3"/>
    <x v="0"/>
    <s v="Dr. Mehta"/>
    <x v="0"/>
    <s v="Chest Pain"/>
    <d v="2024-04-02T00:00:00"/>
    <d v="2024-04-02T00:00:00"/>
    <n v="2800"/>
    <x v="3"/>
    <n v="0"/>
  </r>
  <r>
    <n v="139"/>
    <n v="60"/>
    <s v="Male"/>
    <x v="1"/>
    <x v="1"/>
    <s v="Dr. Shah"/>
    <x v="1"/>
    <s v="Parkinson"/>
    <d v="2024-04-03T00:00:00"/>
    <d v="2024-04-10T00:00:00"/>
    <n v="15000"/>
    <x v="3"/>
    <n v="7"/>
  </r>
  <r>
    <n v="140"/>
    <n v="29"/>
    <s v="Female"/>
    <x v="0"/>
    <x v="3"/>
    <s v="Dr. Joshi"/>
    <x v="0"/>
    <s v="Acne"/>
    <d v="2024-04-05T00:00:00"/>
    <d v="2024-04-05T00:00:00"/>
    <n v="1700"/>
    <x v="3"/>
    <n v="0"/>
  </r>
  <r>
    <n v="141"/>
    <n v="47"/>
    <s v="Male"/>
    <x v="0"/>
    <x v="0"/>
    <s v="Dr. Mehta"/>
    <x v="0"/>
    <s v="Hypertension"/>
    <d v="2024-04-07T00:00:00"/>
    <d v="2024-04-07T00:00:00"/>
    <n v="2600"/>
    <x v="3"/>
    <n v="0"/>
  </r>
  <r>
    <n v="142"/>
    <n v="36"/>
    <s v="Female"/>
    <x v="1"/>
    <x v="1"/>
    <s v="Dr. Shah"/>
    <x v="1"/>
    <s v="Migraine"/>
    <d v="2024-04-08T00:00:00"/>
    <d v="2024-04-12T00:00:00"/>
    <n v="9200"/>
    <x v="3"/>
    <n v="4"/>
  </r>
  <r>
    <n v="143"/>
    <n v="52"/>
    <s v="Male"/>
    <x v="2"/>
    <x v="2"/>
    <s v="Dr. Patel"/>
    <x v="0"/>
    <s v="Back Pain"/>
    <d v="2024-04-09T00:00:00"/>
    <d v="2024-04-09T00:00:00"/>
    <n v="3400"/>
    <x v="3"/>
    <n v="0"/>
  </r>
  <r>
    <n v="144"/>
    <n v="31"/>
    <s v="Female"/>
    <x v="3"/>
    <x v="3"/>
    <s v="Dr. Joshi"/>
    <x v="0"/>
    <s v="Skin Allergy"/>
    <d v="2024-04-10T00:00:00"/>
    <d v="2024-04-10T00:00:00"/>
    <n v="1500"/>
    <x v="3"/>
    <n v="0"/>
  </r>
  <r>
    <n v="145"/>
    <n v="58"/>
    <s v="Male"/>
    <x v="0"/>
    <x v="0"/>
    <s v="Dr. Mehta"/>
    <x v="1"/>
    <s v="Heart Disease"/>
    <d v="2024-04-12T00:00:00"/>
    <d v="2024-04-18T00:00:00"/>
    <n v="14000"/>
    <x v="3"/>
    <n v="6"/>
  </r>
  <r>
    <n v="146"/>
    <n v="40"/>
    <s v="Female"/>
    <x v="1"/>
    <x v="1"/>
    <s v="Dr. Shah"/>
    <x v="0"/>
    <s v="Migraine"/>
    <d v="2024-04-13T00:00:00"/>
    <d v="2024-04-13T00:00:00"/>
    <n v="3600"/>
    <x v="3"/>
    <n v="0"/>
  </r>
  <r>
    <n v="147"/>
    <n v="49"/>
    <s v="Male"/>
    <x v="2"/>
    <x v="2"/>
    <s v="Dr. Patel"/>
    <x v="1"/>
    <s v="Fracture"/>
    <d v="2024-04-14T00:00:00"/>
    <d v="2024-04-20T00:00:00"/>
    <n v="9800"/>
    <x v="3"/>
    <n v="6"/>
  </r>
  <r>
    <n v="148"/>
    <n v="28"/>
    <s v="Female"/>
    <x v="0"/>
    <x v="3"/>
    <s v="Dr. Joshi"/>
    <x v="0"/>
    <s v="Acne"/>
    <d v="2024-04-15T00:00:00"/>
    <d v="2024-04-15T00:00:00"/>
    <n v="1700"/>
    <x v="3"/>
    <n v="0"/>
  </r>
  <r>
    <n v="149"/>
    <n v="54"/>
    <s v="Male"/>
    <x v="3"/>
    <x v="0"/>
    <s v="Dr. Mehta"/>
    <x v="0"/>
    <s v="Chest Pain"/>
    <d v="2024-04-16T00:00:00"/>
    <d v="2024-04-16T00:00:00"/>
    <n v="2800"/>
    <x v="3"/>
    <n v="0"/>
  </r>
  <r>
    <n v="150"/>
    <n v="33"/>
    <s v="Female"/>
    <x v="1"/>
    <x v="1"/>
    <s v="Dr. Shah"/>
    <x v="1"/>
    <s v="Epilepsy"/>
    <d v="2024-04-18T00:00:00"/>
    <d v="2024-04-23T00:00:00"/>
    <n v="10500"/>
    <x v="3"/>
    <n v="5"/>
  </r>
  <r>
    <n v="151"/>
    <n v="61"/>
    <s v="Male"/>
    <x v="0"/>
    <x v="0"/>
    <s v="Dr. Mehta"/>
    <x v="1"/>
    <s v="Heart Attack"/>
    <d v="2024-04-20T00:00:00"/>
    <d v="2024-04-27T00:00:00"/>
    <n v="15500"/>
    <x v="3"/>
    <n v="7"/>
  </r>
  <r>
    <n v="152"/>
    <n v="35"/>
    <s v="Female"/>
    <x v="2"/>
    <x v="3"/>
    <s v="Dr. Joshi"/>
    <x v="0"/>
    <s v="Rash"/>
    <d v="2024-04-21T00:00:00"/>
    <d v="2024-04-21T00:00:00"/>
    <n v="1300"/>
    <x v="3"/>
    <n v="0"/>
  </r>
  <r>
    <n v="153"/>
    <n v="43"/>
    <s v="Male"/>
    <x v="1"/>
    <x v="2"/>
    <s v="Dr. Patel"/>
    <x v="0"/>
    <s v="Joint Pain"/>
    <d v="2024-04-22T00:00:00"/>
    <d v="2024-04-22T00:00:00"/>
    <n v="3100"/>
    <x v="3"/>
    <n v="0"/>
  </r>
  <r>
    <n v="154"/>
    <n v="27"/>
    <s v="Female"/>
    <x v="3"/>
    <x v="0"/>
    <s v="Dr. Mehta"/>
    <x v="0"/>
    <s v="Arrhythmia"/>
    <d v="2024-04-23T00:00:00"/>
    <d v="2024-04-23T00:00:00"/>
    <n v="2900"/>
    <x v="3"/>
    <n v="0"/>
  </r>
  <r>
    <n v="155"/>
    <n v="62"/>
    <s v="Male"/>
    <x v="0"/>
    <x v="1"/>
    <s v="Dr. Shah"/>
    <x v="1"/>
    <s v="Parkinson"/>
    <d v="2024-04-24T00:00:00"/>
    <d v="2024-05-01T00:00:00"/>
    <n v="15000"/>
    <x v="3"/>
    <n v="7"/>
  </r>
  <r>
    <n v="156"/>
    <n v="39"/>
    <s v="Female"/>
    <x v="1"/>
    <x v="0"/>
    <s v="Dr. Mehta"/>
    <x v="0"/>
    <s v="Hypertension"/>
    <d v="2024-04-25T00:00:00"/>
    <d v="2024-04-25T00:00:00"/>
    <n v="2400"/>
    <x v="3"/>
    <n v="0"/>
  </r>
  <r>
    <n v="157"/>
    <n v="48"/>
    <s v="Male"/>
    <x v="2"/>
    <x v="2"/>
    <s v="Dr. Patel"/>
    <x v="1"/>
    <s v="Fracture"/>
    <d v="2024-04-26T00:00:00"/>
    <d v="2024-05-02T00:00:00"/>
    <n v="10200"/>
    <x v="3"/>
    <n v="6"/>
  </r>
  <r>
    <n v="158"/>
    <n v="30"/>
    <s v="Female"/>
    <x v="0"/>
    <x v="3"/>
    <s v="Dr. Joshi"/>
    <x v="0"/>
    <s v="Acne"/>
    <d v="2024-04-27T00:00:00"/>
    <d v="2024-04-27T00:00:00"/>
    <n v="1800"/>
    <x v="3"/>
    <n v="0"/>
  </r>
  <r>
    <n v="159"/>
    <n v="53"/>
    <s v="Male"/>
    <x v="3"/>
    <x v="1"/>
    <s v="Dr. Shah"/>
    <x v="1"/>
    <s v="Stroke"/>
    <d v="2024-04-28T00:00:00"/>
    <d v="2024-05-04T00:00:00"/>
    <n v="13500"/>
    <x v="3"/>
    <n v="6"/>
  </r>
  <r>
    <n v="160"/>
    <n v="34"/>
    <s v="Female"/>
    <x v="1"/>
    <x v="0"/>
    <s v="Dr. Mehta"/>
    <x v="0"/>
    <s v="Chest Pain"/>
    <d v="2024-04-29T00:00:00"/>
    <d v="2024-04-29T00:00:00"/>
    <n v="2700"/>
    <x v="3"/>
    <n v="0"/>
  </r>
  <r>
    <n v="161"/>
    <n v="45"/>
    <s v="Male"/>
    <x v="0"/>
    <x v="2"/>
    <s v="Dr. Patel"/>
    <x v="0"/>
    <s v="Back Pain"/>
    <d v="2024-05-01T00:00:00"/>
    <d v="2024-05-01T00:00:00"/>
    <n v="3300"/>
    <x v="4"/>
    <n v="0"/>
  </r>
  <r>
    <n v="162"/>
    <n v="29"/>
    <s v="Female"/>
    <x v="1"/>
    <x v="3"/>
    <s v="Dr. Joshi"/>
    <x v="0"/>
    <s v="Skin Allergy"/>
    <d v="2024-05-02T00:00:00"/>
    <d v="2024-05-02T00:00:00"/>
    <n v="1600"/>
    <x v="4"/>
    <n v="0"/>
  </r>
  <r>
    <n v="163"/>
    <n v="57"/>
    <s v="Male"/>
    <x v="2"/>
    <x v="1"/>
    <s v="Dr. Shah"/>
    <x v="1"/>
    <s v="Stroke"/>
    <d v="2024-05-03T00:00:00"/>
    <d v="2024-05-09T00:00:00"/>
    <n v="14500"/>
    <x v="4"/>
    <n v="6"/>
  </r>
  <r>
    <n v="164"/>
    <n v="36"/>
    <s v="Female"/>
    <x v="3"/>
    <x v="0"/>
    <s v="Dr. Mehta"/>
    <x v="0"/>
    <s v="Hypertension"/>
    <d v="2024-05-04T00:00:00"/>
    <d v="2024-05-04T00:00:00"/>
    <n v="2500"/>
    <x v="4"/>
    <n v="0"/>
  </r>
  <r>
    <n v="165"/>
    <n v="47"/>
    <s v="Male"/>
    <x v="0"/>
    <x v="2"/>
    <s v="Dr. Patel"/>
    <x v="1"/>
    <s v="Fracture"/>
    <d v="2024-05-05T00:00:00"/>
    <d v="2024-05-11T00:00:00"/>
    <n v="10000"/>
    <x v="4"/>
    <n v="6"/>
  </r>
  <r>
    <n v="166"/>
    <n v="31"/>
    <s v="Female"/>
    <x v="1"/>
    <x v="0"/>
    <s v="Dr. Mehta"/>
    <x v="0"/>
    <s v="Chest Pain"/>
    <d v="2024-05-06T00:00:00"/>
    <d v="2024-05-06T00:00:00"/>
    <n v="2800"/>
    <x v="4"/>
    <n v="0"/>
  </r>
  <r>
    <n v="167"/>
    <n v="42"/>
    <s v="Male"/>
    <x v="2"/>
    <x v="1"/>
    <s v="Dr. Shah"/>
    <x v="0"/>
    <s v="Migraine"/>
    <d v="2024-05-07T00:00:00"/>
    <d v="2024-05-07T00:00:00"/>
    <n v="3600"/>
    <x v="4"/>
    <n v="0"/>
  </r>
  <r>
    <n v="168"/>
    <n v="28"/>
    <s v="Female"/>
    <x v="0"/>
    <x v="3"/>
    <s v="Dr. Joshi"/>
    <x v="0"/>
    <s v="Acne"/>
    <d v="2024-05-08T00:00:00"/>
    <d v="2024-05-08T00:00:00"/>
    <n v="1700"/>
    <x v="4"/>
    <n v="0"/>
  </r>
  <r>
    <n v="169"/>
    <n v="55"/>
    <s v="Male"/>
    <x v="3"/>
    <x v="0"/>
    <s v="Dr. Mehta"/>
    <x v="1"/>
    <s v="Heart Disease"/>
    <d v="2024-05-09T00:00:00"/>
    <d v="2024-05-15T00:00:00"/>
    <n v="14000"/>
    <x v="4"/>
    <n v="6"/>
  </r>
  <r>
    <n v="170"/>
    <n v="38"/>
    <s v="Female"/>
    <x v="1"/>
    <x v="2"/>
    <s v="Dr. Patel"/>
    <x v="0"/>
    <s v="Joint Pain"/>
    <d v="2024-05-10T00:00:00"/>
    <d v="2024-05-10T00:00:00"/>
    <n v="3200"/>
    <x v="4"/>
    <n v="0"/>
  </r>
  <r>
    <n v="171"/>
    <n v="50"/>
    <s v="Male"/>
    <x v="0"/>
    <x v="1"/>
    <s v="Dr. Shah"/>
    <x v="1"/>
    <s v="Epilepsy"/>
    <d v="2024-05-11T00:00:00"/>
    <d v="2024-05-17T00:00:00"/>
    <n v="12500"/>
    <x v="4"/>
    <n v="6"/>
  </r>
  <r>
    <n v="172"/>
    <n v="33"/>
    <s v="Female"/>
    <x v="2"/>
    <x v="0"/>
    <s v="Dr. Mehta"/>
    <x v="0"/>
    <s v="Arrhythmia"/>
    <d v="2024-05-12T00:00:00"/>
    <d v="2024-05-12T00:00:00"/>
    <n v="3000"/>
    <x v="4"/>
    <n v="0"/>
  </r>
  <r>
    <n v="173"/>
    <n v="58"/>
    <s v="Male"/>
    <x v="3"/>
    <x v="2"/>
    <s v="Dr. Patel"/>
    <x v="1"/>
    <s v="Back Pain"/>
    <d v="2024-05-13T00:00:00"/>
    <d v="2024-05-19T00:00:00"/>
    <n v="10500"/>
    <x v="4"/>
    <n v="6"/>
  </r>
  <r>
    <n v="174"/>
    <n v="27"/>
    <s v="Female"/>
    <x v="0"/>
    <x v="3"/>
    <s v="Dr. Joshi"/>
    <x v="0"/>
    <s v="Rash"/>
    <d v="2024-05-14T00:00:00"/>
    <d v="2024-05-14T00:00:00"/>
    <n v="1500"/>
    <x v="4"/>
    <n v="0"/>
  </r>
  <r>
    <n v="175"/>
    <n v="46"/>
    <s v="Male"/>
    <x v="1"/>
    <x v="0"/>
    <s v="Dr. Mehta"/>
    <x v="0"/>
    <s v="Hypertension"/>
    <d v="2024-05-15T00:00:00"/>
    <d v="2024-05-15T00:00:00"/>
    <n v="2600"/>
    <x v="4"/>
    <n v="0"/>
  </r>
  <r>
    <n v="176"/>
    <n v="39"/>
    <s v="Female"/>
    <x v="2"/>
    <x v="1"/>
    <s v="Dr. Shah"/>
    <x v="1"/>
    <s v="Migraine"/>
    <d v="2024-05-16T00:00:00"/>
    <d v="2024-05-21T00:00:00"/>
    <n v="9200"/>
    <x v="4"/>
    <n v="5"/>
  </r>
  <r>
    <n v="177"/>
    <n v="52"/>
    <s v="Male"/>
    <x v="0"/>
    <x v="2"/>
    <s v="Dr. Patel"/>
    <x v="0"/>
    <s v="Joint Pain"/>
    <d v="2024-05-17T00:00:00"/>
    <d v="2024-05-17T00:00:00"/>
    <n v="3400"/>
    <x v="4"/>
    <n v="0"/>
  </r>
  <r>
    <n v="178"/>
    <n v="35"/>
    <s v="Female"/>
    <x v="3"/>
    <x v="0"/>
    <s v="Dr. Mehta"/>
    <x v="0"/>
    <s v="Chest Pain"/>
    <d v="2024-05-18T00:00:00"/>
    <d v="2024-05-18T00:00:00"/>
    <n v="2800"/>
    <x v="4"/>
    <n v="0"/>
  </r>
  <r>
    <n v="179"/>
    <n v="60"/>
    <s v="Male"/>
    <x v="1"/>
    <x v="1"/>
    <s v="Dr. Shah"/>
    <x v="1"/>
    <s v="Parkinson"/>
    <d v="2024-05-19T00:00:00"/>
    <d v="2024-05-26T00:00:00"/>
    <n v="15000"/>
    <x v="4"/>
    <n v="7"/>
  </r>
  <r>
    <n v="180"/>
    <n v="29"/>
    <s v="Female"/>
    <x v="0"/>
    <x v="3"/>
    <s v="Dr. Joshi"/>
    <x v="0"/>
    <s v="Acne"/>
    <d v="2024-05-20T00:00:00"/>
    <d v="2024-05-20T00:00:00"/>
    <n v="1700"/>
    <x v="4"/>
    <n v="0"/>
  </r>
  <r>
    <n v="181"/>
    <n v="48"/>
    <s v="Male"/>
    <x v="0"/>
    <x v="0"/>
    <s v="Dr. Mehta"/>
    <x v="0"/>
    <s v="Hypertension"/>
    <d v="2024-05-22T00:00:00"/>
    <d v="2024-05-22T00:00:00"/>
    <n v="2700"/>
    <x v="4"/>
    <n v="0"/>
  </r>
  <r>
    <n v="182"/>
    <n v="34"/>
    <s v="Female"/>
    <x v="1"/>
    <x v="1"/>
    <s v="Dr. Shah"/>
    <x v="1"/>
    <s v="Migraine"/>
    <d v="2024-05-23T00:00:00"/>
    <d v="2024-05-28T00:00:00"/>
    <n v="9500"/>
    <x v="4"/>
    <n v="5"/>
  </r>
  <r>
    <n v="183"/>
    <n v="51"/>
    <s v="Male"/>
    <x v="2"/>
    <x v="2"/>
    <s v="Dr. Patel"/>
    <x v="0"/>
    <s v="Back Pain"/>
    <d v="2024-05-24T00:00:00"/>
    <d v="2024-05-24T00:00:00"/>
    <n v="3500"/>
    <x v="4"/>
    <n v="0"/>
  </r>
  <r>
    <n v="184"/>
    <n v="29"/>
    <s v="Female"/>
    <x v="3"/>
    <x v="3"/>
    <s v="Dr. Joshi"/>
    <x v="0"/>
    <s v="Skin Allergy"/>
    <d v="2024-05-25T00:00:00"/>
    <d v="2024-05-25T00:00:00"/>
    <n v="1600"/>
    <x v="4"/>
    <n v="0"/>
  </r>
  <r>
    <n v="185"/>
    <n v="57"/>
    <s v="Male"/>
    <x v="0"/>
    <x v="0"/>
    <s v="Dr. Mehta"/>
    <x v="1"/>
    <s v="Heart Disease"/>
    <d v="2024-05-26T00:00:00"/>
    <d v="2024-06-01T00:00:00"/>
    <n v="14500"/>
    <x v="4"/>
    <n v="6"/>
  </r>
  <r>
    <n v="186"/>
    <n v="41"/>
    <s v="Female"/>
    <x v="1"/>
    <x v="1"/>
    <s v="Dr. Shah"/>
    <x v="0"/>
    <s v="Migraine"/>
    <d v="2024-05-27T00:00:00"/>
    <d v="2024-05-27T00:00:00"/>
    <n v="3700"/>
    <x v="4"/>
    <n v="0"/>
  </r>
  <r>
    <n v="187"/>
    <n v="46"/>
    <s v="Male"/>
    <x v="2"/>
    <x v="2"/>
    <s v="Dr. Patel"/>
    <x v="1"/>
    <s v="Fracture"/>
    <d v="2024-05-28T00:00:00"/>
    <d v="2024-06-03T00:00:00"/>
    <n v="10000"/>
    <x v="4"/>
    <n v="6"/>
  </r>
  <r>
    <n v="188"/>
    <n v="28"/>
    <s v="Female"/>
    <x v="0"/>
    <x v="3"/>
    <s v="Dr. Joshi"/>
    <x v="0"/>
    <s v="Acne"/>
    <d v="2024-05-29T00:00:00"/>
    <d v="2024-05-29T00:00:00"/>
    <n v="1800"/>
    <x v="4"/>
    <n v="0"/>
  </r>
  <r>
    <n v="189"/>
    <n v="55"/>
    <s v="Male"/>
    <x v="3"/>
    <x v="0"/>
    <s v="Dr. Mehta"/>
    <x v="0"/>
    <s v="Chest Pain"/>
    <d v="2024-05-30T00:00:00"/>
    <d v="2024-05-30T00:00:00"/>
    <n v="2900"/>
    <x v="4"/>
    <n v="0"/>
  </r>
  <r>
    <n v="190"/>
    <n v="32"/>
    <s v="Female"/>
    <x v="1"/>
    <x v="1"/>
    <s v="Dr. Shah"/>
    <x v="1"/>
    <s v="Epilepsy"/>
    <d v="2024-06-01T00:00:00"/>
    <d v="2024-06-06T00:00:00"/>
    <n v="11000"/>
    <x v="5"/>
    <n v="5"/>
  </r>
  <r>
    <n v="191"/>
    <n v="62"/>
    <s v="Male"/>
    <x v="0"/>
    <x v="0"/>
    <s v="Dr. Mehta"/>
    <x v="1"/>
    <s v="Heart Attack"/>
    <d v="2024-06-02T00:00:00"/>
    <d v="2024-06-09T00:00:00"/>
    <n v="16000"/>
    <x v="5"/>
    <n v="7"/>
  </r>
  <r>
    <n v="192"/>
    <n v="36"/>
    <s v="Female"/>
    <x v="2"/>
    <x v="3"/>
    <s v="Dr. Joshi"/>
    <x v="0"/>
    <s v="Rash"/>
    <d v="2024-06-03T00:00:00"/>
    <d v="2024-06-03T00:00:00"/>
    <n v="1400"/>
    <x v="5"/>
    <n v="0"/>
  </r>
  <r>
    <n v="193"/>
    <n v="44"/>
    <s v="Male"/>
    <x v="1"/>
    <x v="2"/>
    <s v="Dr. Patel"/>
    <x v="0"/>
    <s v="Joint Pain"/>
    <d v="2024-06-04T00:00:00"/>
    <d v="2024-06-04T00:00:00"/>
    <n v="3200"/>
    <x v="5"/>
    <n v="0"/>
  </r>
  <r>
    <n v="194"/>
    <n v="27"/>
    <s v="Female"/>
    <x v="3"/>
    <x v="0"/>
    <s v="Dr. Mehta"/>
    <x v="0"/>
    <s v="Arrhythmia"/>
    <d v="2024-06-05T00:00:00"/>
    <d v="2024-06-05T00:00:00"/>
    <n v="3000"/>
    <x v="5"/>
    <n v="0"/>
  </r>
  <r>
    <n v="195"/>
    <n v="63"/>
    <s v="Male"/>
    <x v="0"/>
    <x v="1"/>
    <s v="Dr. Shah"/>
    <x v="1"/>
    <s v="Parkinson"/>
    <d v="2024-06-06T00:00:00"/>
    <d v="2024-06-13T00:00:00"/>
    <n v="15500"/>
    <x v="5"/>
    <n v="7"/>
  </r>
  <r>
    <n v="196"/>
    <n v="38"/>
    <s v="Female"/>
    <x v="1"/>
    <x v="0"/>
    <s v="Dr. Mehta"/>
    <x v="0"/>
    <s v="Hypertension"/>
    <d v="2024-06-07T00:00:00"/>
    <d v="2024-06-07T00:00:00"/>
    <n v="2500"/>
    <x v="5"/>
    <n v="0"/>
  </r>
  <r>
    <n v="197"/>
    <n v="49"/>
    <s v="Male"/>
    <x v="2"/>
    <x v="2"/>
    <s v="Dr. Patel"/>
    <x v="1"/>
    <s v="Fracture"/>
    <d v="2024-06-08T00:00:00"/>
    <d v="2024-06-14T00:00:00"/>
    <n v="10500"/>
    <x v="5"/>
    <n v="6"/>
  </r>
  <r>
    <n v="198"/>
    <n v="30"/>
    <s v="Female"/>
    <x v="0"/>
    <x v="3"/>
    <s v="Dr. Joshi"/>
    <x v="0"/>
    <s v="Acne"/>
    <d v="2024-06-09T00:00:00"/>
    <d v="2024-06-09T00:00:00"/>
    <n v="1700"/>
    <x v="5"/>
    <n v="0"/>
  </r>
  <r>
    <n v="199"/>
    <n v="54"/>
    <s v="Male"/>
    <x v="3"/>
    <x v="1"/>
    <s v="Dr. Shah"/>
    <x v="1"/>
    <s v="Stroke"/>
    <d v="2024-06-10T00:00:00"/>
    <d v="2024-06-16T00:00:00"/>
    <n v="14000"/>
    <x v="5"/>
    <n v="6"/>
  </r>
  <r>
    <n v="200"/>
    <n v="35"/>
    <s v="Female"/>
    <x v="1"/>
    <x v="0"/>
    <s v="Dr. Mehta"/>
    <x v="0"/>
    <s v="Chest Pain"/>
    <d v="2024-06-11T00:00:00"/>
    <d v="2024-06-11T00:00:00"/>
    <n v="2800"/>
    <x v="5"/>
    <n v="0"/>
  </r>
  <r>
    <n v="201"/>
    <n v="46"/>
    <s v="Male"/>
    <x v="0"/>
    <x v="2"/>
    <s v="Dr. Patel"/>
    <x v="0"/>
    <s v="Back Pain"/>
    <d v="2024-06-12T00:00:00"/>
    <d v="2024-06-12T00:00:00"/>
    <n v="3400"/>
    <x v="5"/>
    <n v="0"/>
  </r>
  <r>
    <n v="202"/>
    <n v="31"/>
    <s v="Female"/>
    <x v="1"/>
    <x v="3"/>
    <s v="Dr. Joshi"/>
    <x v="0"/>
    <s v="Skin Allergy"/>
    <d v="2024-06-13T00:00:00"/>
    <d v="2024-06-13T00:00:00"/>
    <n v="1600"/>
    <x v="5"/>
    <n v="0"/>
  </r>
  <r>
    <n v="203"/>
    <n v="58"/>
    <s v="Male"/>
    <x v="2"/>
    <x v="1"/>
    <s v="Dr. Shah"/>
    <x v="1"/>
    <s v="Stroke"/>
    <d v="2024-06-14T00:00:00"/>
    <d v="2024-06-20T00:00:00"/>
    <n v="15000"/>
    <x v="5"/>
    <n v="6"/>
  </r>
  <r>
    <n v="204"/>
    <n v="37"/>
    <s v="Female"/>
    <x v="3"/>
    <x v="0"/>
    <s v="Dr. Mehta"/>
    <x v="0"/>
    <s v="Hypertension"/>
    <d v="2024-06-15T00:00:00"/>
    <d v="2024-06-15T00:00:00"/>
    <n v="2600"/>
    <x v="5"/>
    <n v="0"/>
  </r>
  <r>
    <n v="205"/>
    <n v="48"/>
    <s v="Male"/>
    <x v="0"/>
    <x v="2"/>
    <s v="Dr. Patel"/>
    <x v="1"/>
    <s v="Fracture"/>
    <d v="2024-06-16T00:00:00"/>
    <d v="2024-06-22T00:00:00"/>
    <n v="10200"/>
    <x v="5"/>
    <n v="6"/>
  </r>
  <r>
    <n v="206"/>
    <n v="32"/>
    <s v="Female"/>
    <x v="1"/>
    <x v="0"/>
    <s v="Dr. Mehta"/>
    <x v="0"/>
    <s v="Chest Pain"/>
    <d v="2024-06-17T00:00:00"/>
    <d v="2024-06-17T00:00:00"/>
    <n v="2900"/>
    <x v="5"/>
    <n v="0"/>
  </r>
  <r>
    <n v="207"/>
    <n v="43"/>
    <s v="Male"/>
    <x v="2"/>
    <x v="1"/>
    <s v="Dr. Shah"/>
    <x v="0"/>
    <s v="Migraine"/>
    <d v="2024-06-18T00:00:00"/>
    <d v="2024-06-18T00:00:00"/>
    <n v="3700"/>
    <x v="5"/>
    <n v="0"/>
  </r>
  <r>
    <n v="208"/>
    <n v="29"/>
    <s v="Female"/>
    <x v="0"/>
    <x v="3"/>
    <s v="Dr. Joshi"/>
    <x v="0"/>
    <s v="Acne"/>
    <d v="2024-06-19T00:00:00"/>
    <d v="2024-06-19T00:00:00"/>
    <n v="1800"/>
    <x v="5"/>
    <n v="0"/>
  </r>
  <r>
    <n v="209"/>
    <n v="56"/>
    <s v="Male"/>
    <x v="3"/>
    <x v="0"/>
    <s v="Dr. Mehta"/>
    <x v="1"/>
    <s v="Heart Disease"/>
    <d v="2024-06-20T00:00:00"/>
    <d v="2024-06-26T00:00:00"/>
    <n v="14500"/>
    <x v="5"/>
    <n v="6"/>
  </r>
  <r>
    <n v="210"/>
    <n v="39"/>
    <s v="Female"/>
    <x v="1"/>
    <x v="2"/>
    <s v="Dr. Patel"/>
    <x v="0"/>
    <s v="Joint Pain"/>
    <d v="2024-06-21T00:00:00"/>
    <d v="2024-06-21T00:00:00"/>
    <n v="3300"/>
    <x v="5"/>
    <n v="0"/>
  </r>
  <r>
    <n v="211"/>
    <n v="51"/>
    <s v="Male"/>
    <x v="0"/>
    <x v="1"/>
    <s v="Dr. Shah"/>
    <x v="1"/>
    <s v="Epilepsy"/>
    <d v="2024-06-22T00:00:00"/>
    <d v="2024-06-28T00:00:00"/>
    <n v="13000"/>
    <x v="5"/>
    <n v="6"/>
  </r>
  <r>
    <n v="212"/>
    <n v="34"/>
    <s v="Female"/>
    <x v="2"/>
    <x v="0"/>
    <s v="Dr. Mehta"/>
    <x v="0"/>
    <s v="Arrhythmia"/>
    <d v="2024-06-23T00:00:00"/>
    <d v="2024-06-23T00:00:00"/>
    <n v="3100"/>
    <x v="5"/>
    <n v="0"/>
  </r>
  <r>
    <n v="213"/>
    <n v="59"/>
    <s v="Male"/>
    <x v="3"/>
    <x v="2"/>
    <s v="Dr. Patel"/>
    <x v="1"/>
    <s v="Back Pain"/>
    <d v="2024-06-24T00:00:00"/>
    <d v="2024-06-30T00:00:00"/>
    <n v="10800"/>
    <x v="5"/>
    <n v="6"/>
  </r>
  <r>
    <n v="214"/>
    <n v="28"/>
    <s v="Female"/>
    <x v="0"/>
    <x v="3"/>
    <s v="Dr. Joshi"/>
    <x v="0"/>
    <s v="Rash"/>
    <d v="2024-06-25T00:00:00"/>
    <d v="2024-06-25T00:00:00"/>
    <n v="1500"/>
    <x v="5"/>
    <n v="0"/>
  </r>
  <r>
    <n v="215"/>
    <n v="47"/>
    <s v="Male"/>
    <x v="1"/>
    <x v="0"/>
    <s v="Dr. Mehta"/>
    <x v="0"/>
    <s v="Hypertension"/>
    <d v="2024-06-26T00:00:00"/>
    <d v="2024-06-26T00:00:00"/>
    <n v="2700"/>
    <x v="5"/>
    <n v="0"/>
  </r>
  <r>
    <n v="216"/>
    <n v="40"/>
    <s v="Female"/>
    <x v="2"/>
    <x v="1"/>
    <s v="Dr. Shah"/>
    <x v="1"/>
    <s v="Migraine"/>
    <d v="2024-06-27T00:00:00"/>
    <d v="2024-07-02T00:00:00"/>
    <n v="9500"/>
    <x v="5"/>
    <n v="5"/>
  </r>
  <r>
    <n v="217"/>
    <n v="53"/>
    <s v="Male"/>
    <x v="0"/>
    <x v="2"/>
    <s v="Dr. Patel"/>
    <x v="0"/>
    <s v="Joint Pain"/>
    <d v="2024-06-28T00:00:00"/>
    <d v="2024-06-28T00:00:00"/>
    <n v="3500"/>
    <x v="5"/>
    <n v="0"/>
  </r>
  <r>
    <n v="218"/>
    <n v="36"/>
    <s v="Female"/>
    <x v="3"/>
    <x v="0"/>
    <s v="Dr. Mehta"/>
    <x v="0"/>
    <s v="Chest Pain"/>
    <d v="2024-06-29T00:00:00"/>
    <d v="2024-06-29T00:00:00"/>
    <n v="2900"/>
    <x v="5"/>
    <n v="0"/>
  </r>
  <r>
    <n v="219"/>
    <n v="61"/>
    <s v="Male"/>
    <x v="1"/>
    <x v="1"/>
    <s v="Dr. Shah"/>
    <x v="1"/>
    <s v="Parkinson"/>
    <d v="2024-06-30T00:00:00"/>
    <d v="2024-07-06T00:00:00"/>
    <n v="15500"/>
    <x v="5"/>
    <n v="6"/>
  </r>
  <r>
    <n v="220"/>
    <n v="30"/>
    <s v="Female"/>
    <x v="0"/>
    <x v="3"/>
    <s v="Dr. Joshi"/>
    <x v="0"/>
    <s v="Acne"/>
    <d v="2024-07-01T00:00:00"/>
    <d v="2024-07-01T00:00:00"/>
    <n v="1800"/>
    <x v="6"/>
    <n v="0"/>
  </r>
  <r>
    <n v="221"/>
    <n v="49"/>
    <s v="Male"/>
    <x v="0"/>
    <x v="0"/>
    <s v="Dr. Mehta"/>
    <x v="0"/>
    <s v="Hypertension"/>
    <d v="2024-07-02T00:00:00"/>
    <d v="2024-07-02T00:00:00"/>
    <n v="2800"/>
    <x v="6"/>
    <n v="0"/>
  </r>
  <r>
    <n v="222"/>
    <n v="35"/>
    <s v="Female"/>
    <x v="1"/>
    <x v="1"/>
    <s v="Dr. Shah"/>
    <x v="1"/>
    <s v="Migraine"/>
    <d v="2024-07-03T00:00:00"/>
    <d v="2024-07-08T00:00:00"/>
    <n v="9700"/>
    <x v="6"/>
    <n v="5"/>
  </r>
  <r>
    <n v="223"/>
    <n v="52"/>
    <s v="Male"/>
    <x v="2"/>
    <x v="2"/>
    <s v="Dr. Patel"/>
    <x v="0"/>
    <s v="Back Pain"/>
    <d v="2024-07-04T00:00:00"/>
    <d v="2024-07-04T00:00:00"/>
    <n v="3600"/>
    <x v="6"/>
    <n v="0"/>
  </r>
  <r>
    <n v="224"/>
    <n v="30"/>
    <s v="Female"/>
    <x v="3"/>
    <x v="3"/>
    <s v="Dr. Joshi"/>
    <x v="0"/>
    <s v="Skin Allergy"/>
    <d v="2024-07-05T00:00:00"/>
    <d v="2024-07-05T00:00:00"/>
    <n v="1700"/>
    <x v="6"/>
    <n v="0"/>
  </r>
  <r>
    <n v="225"/>
    <n v="58"/>
    <s v="Male"/>
    <x v="0"/>
    <x v="0"/>
    <s v="Dr. Mehta"/>
    <x v="1"/>
    <s v="Heart Disease"/>
    <d v="2024-07-06T00:00:00"/>
    <d v="2024-07-12T00:00:00"/>
    <n v="15000"/>
    <x v="6"/>
    <n v="6"/>
  </r>
  <r>
    <n v="226"/>
    <n v="42"/>
    <s v="Female"/>
    <x v="1"/>
    <x v="1"/>
    <s v="Dr. Shah"/>
    <x v="0"/>
    <s v="Migraine"/>
    <d v="2024-07-07T00:00:00"/>
    <d v="2024-07-07T00:00:00"/>
    <n v="3800"/>
    <x v="6"/>
    <n v="0"/>
  </r>
  <r>
    <n v="227"/>
    <n v="47"/>
    <s v="Male"/>
    <x v="2"/>
    <x v="2"/>
    <s v="Dr. Patel"/>
    <x v="1"/>
    <s v="Fracture"/>
    <d v="2024-07-08T00:00:00"/>
    <d v="2024-07-14T00:00:00"/>
    <n v="10200"/>
    <x v="6"/>
    <n v="6"/>
  </r>
  <r>
    <n v="228"/>
    <n v="29"/>
    <s v="Female"/>
    <x v="0"/>
    <x v="3"/>
    <s v="Dr. Joshi"/>
    <x v="0"/>
    <s v="Acne"/>
    <d v="2024-07-09T00:00:00"/>
    <d v="2024-07-09T00:00:00"/>
    <n v="1800"/>
    <x v="6"/>
    <n v="0"/>
  </r>
  <r>
    <n v="229"/>
    <n v="56"/>
    <s v="Male"/>
    <x v="3"/>
    <x v="0"/>
    <s v="Dr. Mehta"/>
    <x v="0"/>
    <s v="Chest Pain"/>
    <d v="2024-07-10T00:00:00"/>
    <d v="2024-07-10T00:00:00"/>
    <n v="3000"/>
    <x v="6"/>
    <n v="0"/>
  </r>
  <r>
    <n v="230"/>
    <n v="33"/>
    <s v="Female"/>
    <x v="1"/>
    <x v="1"/>
    <s v="Dr. Shah"/>
    <x v="1"/>
    <s v="Epilepsy"/>
    <d v="2024-07-11T00:00:00"/>
    <d v="2024-07-16T00:00:00"/>
    <n v="11500"/>
    <x v="6"/>
    <n v="5"/>
  </r>
  <r>
    <n v="231"/>
    <n v="63"/>
    <s v="Male"/>
    <x v="0"/>
    <x v="0"/>
    <s v="Dr. Mehta"/>
    <x v="1"/>
    <s v="Heart Attack"/>
    <d v="2024-07-12T00:00:00"/>
    <d v="2024-07-19T00:00:00"/>
    <n v="16500"/>
    <x v="6"/>
    <n v="7"/>
  </r>
  <r>
    <n v="232"/>
    <n v="37"/>
    <s v="Female"/>
    <x v="2"/>
    <x v="3"/>
    <s v="Dr. Joshi"/>
    <x v="0"/>
    <s v="Rash"/>
    <d v="2024-07-13T00:00:00"/>
    <d v="2024-07-13T00:00:00"/>
    <n v="1500"/>
    <x v="6"/>
    <n v="0"/>
  </r>
  <r>
    <n v="233"/>
    <n v="45"/>
    <s v="Male"/>
    <x v="1"/>
    <x v="2"/>
    <s v="Dr. Patel"/>
    <x v="0"/>
    <s v="Joint Pain"/>
    <d v="2024-07-14T00:00:00"/>
    <d v="2024-07-14T00:00:00"/>
    <n v="3300"/>
    <x v="6"/>
    <n v="0"/>
  </r>
  <r>
    <n v="234"/>
    <n v="28"/>
    <s v="Female"/>
    <x v="3"/>
    <x v="0"/>
    <s v="Dr. Mehta"/>
    <x v="0"/>
    <s v="Arrhythmia"/>
    <d v="2024-07-15T00:00:00"/>
    <d v="2024-07-15T00:00:00"/>
    <n v="3100"/>
    <x v="6"/>
    <n v="0"/>
  </r>
  <r>
    <n v="235"/>
    <n v="64"/>
    <s v="Male"/>
    <x v="0"/>
    <x v="1"/>
    <s v="Dr. Shah"/>
    <x v="1"/>
    <s v="Parkinson"/>
    <d v="2024-07-16T00:00:00"/>
    <d v="2024-07-23T00:00:00"/>
    <n v="16000"/>
    <x v="6"/>
    <n v="7"/>
  </r>
  <r>
    <n v="236"/>
    <n v="39"/>
    <s v="Female"/>
    <x v="1"/>
    <x v="0"/>
    <s v="Dr. Mehta"/>
    <x v="0"/>
    <s v="Hypertension"/>
    <d v="2024-07-17T00:00:00"/>
    <d v="2024-07-17T00:00:00"/>
    <n v="2600"/>
    <x v="6"/>
    <n v="0"/>
  </r>
  <r>
    <n v="237"/>
    <n v="50"/>
    <s v="Male"/>
    <x v="2"/>
    <x v="2"/>
    <s v="Dr. Patel"/>
    <x v="1"/>
    <s v="Fracture"/>
    <d v="2024-07-18T00:00:00"/>
    <d v="2024-07-24T00:00:00"/>
    <n v="10800"/>
    <x v="6"/>
    <n v="6"/>
  </r>
  <r>
    <n v="238"/>
    <n v="31"/>
    <s v="Female"/>
    <x v="0"/>
    <x v="3"/>
    <s v="Dr. Joshi"/>
    <x v="0"/>
    <s v="Acne"/>
    <d v="2024-07-19T00:00:00"/>
    <d v="2024-07-19T00:00:00"/>
    <n v="1800"/>
    <x v="6"/>
    <n v="0"/>
  </r>
  <r>
    <n v="239"/>
    <n v="55"/>
    <s v="Male"/>
    <x v="3"/>
    <x v="1"/>
    <s v="Dr. Shah"/>
    <x v="1"/>
    <s v="Stroke"/>
    <d v="2024-07-20T00:00:00"/>
    <d v="2024-07-26T00:00:00"/>
    <n v="14500"/>
    <x v="6"/>
    <n v="6"/>
  </r>
  <r>
    <n v="240"/>
    <n v="36"/>
    <s v="Female"/>
    <x v="1"/>
    <x v="0"/>
    <s v="Dr. Mehta"/>
    <x v="0"/>
    <s v="Chest Pain"/>
    <d v="2024-07-21T00:00:00"/>
    <d v="2024-07-21T00:00:00"/>
    <n v="2900"/>
    <x v="6"/>
    <n v="0"/>
  </r>
  <r>
    <n v="241"/>
    <n v="47"/>
    <s v="Male"/>
    <x v="0"/>
    <x v="2"/>
    <s v="Dr. Patel"/>
    <x v="0"/>
    <s v="Back Pain"/>
    <d v="2024-07-22T00:00:00"/>
    <d v="2024-07-22T00:00:00"/>
    <n v="3500"/>
    <x v="6"/>
    <n v="0"/>
  </r>
  <r>
    <n v="242"/>
    <n v="32"/>
    <s v="Female"/>
    <x v="1"/>
    <x v="3"/>
    <s v="Dr. Joshi"/>
    <x v="0"/>
    <s v="Skin Allergy"/>
    <d v="2024-07-23T00:00:00"/>
    <d v="2024-07-23T00:00:00"/>
    <n v="1700"/>
    <x v="6"/>
    <n v="0"/>
  </r>
  <r>
    <n v="243"/>
    <n v="59"/>
    <s v="Male"/>
    <x v="2"/>
    <x v="1"/>
    <s v="Dr. Shah"/>
    <x v="1"/>
    <s v="Stroke"/>
    <d v="2024-07-24T00:00:00"/>
    <d v="2024-07-30T00:00:00"/>
    <n v="15500"/>
    <x v="6"/>
    <n v="6"/>
  </r>
  <r>
    <n v="244"/>
    <n v="38"/>
    <s v="Female"/>
    <x v="3"/>
    <x v="0"/>
    <s v="Dr. Mehta"/>
    <x v="0"/>
    <s v="Hypertension"/>
    <d v="2024-07-25T00:00:00"/>
    <d v="2024-07-25T00:00:00"/>
    <n v="2700"/>
    <x v="6"/>
    <n v="0"/>
  </r>
  <r>
    <n v="245"/>
    <n v="49"/>
    <s v="Male"/>
    <x v="0"/>
    <x v="2"/>
    <s v="Dr. Patel"/>
    <x v="1"/>
    <s v="Fracture"/>
    <d v="2024-07-26T00:00:00"/>
    <d v="2024-08-01T00:00:00"/>
    <n v="11000"/>
    <x v="6"/>
    <n v="6"/>
  </r>
  <r>
    <n v="246"/>
    <n v="33"/>
    <s v="Female"/>
    <x v="1"/>
    <x v="0"/>
    <s v="Dr. Mehta"/>
    <x v="0"/>
    <s v="Chest Pain"/>
    <d v="2024-07-27T00:00:00"/>
    <d v="2024-07-27T00:00:00"/>
    <n v="3000"/>
    <x v="6"/>
    <n v="0"/>
  </r>
  <r>
    <n v="247"/>
    <n v="44"/>
    <s v="Male"/>
    <x v="2"/>
    <x v="1"/>
    <s v="Dr. Shah"/>
    <x v="0"/>
    <s v="Migraine"/>
    <d v="2024-07-28T00:00:00"/>
    <d v="2024-07-28T00:00:00"/>
    <n v="3800"/>
    <x v="6"/>
    <n v="0"/>
  </r>
  <r>
    <n v="248"/>
    <n v="30"/>
    <s v="Female"/>
    <x v="0"/>
    <x v="3"/>
    <s v="Dr. Joshi"/>
    <x v="0"/>
    <s v="Acne"/>
    <d v="2024-07-29T00:00:00"/>
    <d v="2024-07-29T00:00:00"/>
    <n v="1900"/>
    <x v="6"/>
    <n v="0"/>
  </r>
  <r>
    <n v="249"/>
    <n v="57"/>
    <s v="Male"/>
    <x v="3"/>
    <x v="0"/>
    <s v="Dr. Mehta"/>
    <x v="1"/>
    <s v="Heart Disease"/>
    <d v="2024-07-30T00:00:00"/>
    <d v="2024-08-05T00:00:00"/>
    <n v="15000"/>
    <x v="6"/>
    <n v="6"/>
  </r>
  <r>
    <n v="250"/>
    <n v="40"/>
    <s v="Female"/>
    <x v="1"/>
    <x v="2"/>
    <s v="Dr. Patel"/>
    <x v="0"/>
    <s v="Joint Pain"/>
    <d v="2024-07-31T00:00:00"/>
    <d v="2024-07-31T00:00:00"/>
    <n v="3400"/>
    <x v="6"/>
    <n v="0"/>
  </r>
  <r>
    <n v="251"/>
    <n v="52"/>
    <s v="Male"/>
    <x v="0"/>
    <x v="1"/>
    <s v="Dr. Shah"/>
    <x v="1"/>
    <s v="Epilepsy"/>
    <d v="2024-08-01T00:00:00"/>
    <d v="2024-08-07T00:00:00"/>
    <n v="13500"/>
    <x v="7"/>
    <n v="6"/>
  </r>
  <r>
    <n v="252"/>
    <n v="35"/>
    <s v="Female"/>
    <x v="2"/>
    <x v="0"/>
    <s v="Dr. Mehta"/>
    <x v="0"/>
    <s v="Arrhythmia"/>
    <d v="2024-08-02T00:00:00"/>
    <d v="2024-08-02T00:00:00"/>
    <n v="3200"/>
    <x v="7"/>
    <n v="0"/>
  </r>
  <r>
    <n v="253"/>
    <n v="60"/>
    <s v="Male"/>
    <x v="3"/>
    <x v="2"/>
    <s v="Dr. Patel"/>
    <x v="1"/>
    <s v="Back Pain"/>
    <d v="2024-08-03T00:00:00"/>
    <d v="2024-08-09T00:00:00"/>
    <n v="11000"/>
    <x v="7"/>
    <n v="6"/>
  </r>
  <r>
    <n v="254"/>
    <n v="29"/>
    <s v="Female"/>
    <x v="0"/>
    <x v="3"/>
    <s v="Dr. Joshi"/>
    <x v="0"/>
    <s v="Rash"/>
    <d v="2024-08-04T00:00:00"/>
    <d v="2024-08-04T00:00:00"/>
    <n v="1600"/>
    <x v="7"/>
    <n v="0"/>
  </r>
  <r>
    <n v="255"/>
    <n v="48"/>
    <s v="Male"/>
    <x v="1"/>
    <x v="0"/>
    <s v="Dr. Mehta"/>
    <x v="0"/>
    <s v="Hypertension"/>
    <d v="2024-08-05T00:00:00"/>
    <d v="2024-08-05T00:00:00"/>
    <n v="2800"/>
    <x v="7"/>
    <n v="0"/>
  </r>
  <r>
    <n v="256"/>
    <n v="41"/>
    <s v="Female"/>
    <x v="2"/>
    <x v="1"/>
    <s v="Dr. Shah"/>
    <x v="1"/>
    <s v="Migraine"/>
    <d v="2024-08-06T00:00:00"/>
    <d v="2024-08-11T00:00:00"/>
    <n v="9800"/>
    <x v="7"/>
    <n v="5"/>
  </r>
  <r>
    <n v="257"/>
    <n v="54"/>
    <s v="Male"/>
    <x v="0"/>
    <x v="2"/>
    <s v="Dr. Patel"/>
    <x v="0"/>
    <s v="Joint Pain"/>
    <d v="2024-08-07T00:00:00"/>
    <d v="2024-08-07T00:00:00"/>
    <n v="3600"/>
    <x v="7"/>
    <n v="0"/>
  </r>
  <r>
    <n v="258"/>
    <n v="37"/>
    <s v="Female"/>
    <x v="3"/>
    <x v="0"/>
    <s v="Dr. Mehta"/>
    <x v="0"/>
    <s v="Chest Pain"/>
    <d v="2024-08-08T00:00:00"/>
    <d v="2024-08-08T00:00:00"/>
    <n v="3000"/>
    <x v="7"/>
    <n v="0"/>
  </r>
  <r>
    <n v="259"/>
    <n v="62"/>
    <s v="Male"/>
    <x v="1"/>
    <x v="1"/>
    <s v="Dr. Shah"/>
    <x v="1"/>
    <s v="Parkinson"/>
    <d v="2024-08-09T00:00:00"/>
    <d v="2024-08-15T00:00:00"/>
    <n v="16000"/>
    <x v="7"/>
    <n v="6"/>
  </r>
  <r>
    <n v="260"/>
    <n v="31"/>
    <s v="Female"/>
    <x v="0"/>
    <x v="3"/>
    <s v="Dr. Joshi"/>
    <x v="0"/>
    <s v="Acne"/>
    <d v="2024-08-10T00:00:00"/>
    <d v="2024-08-10T00:00:00"/>
    <n v="1900"/>
    <x v="7"/>
    <n v="0"/>
  </r>
  <r>
    <n v="261"/>
    <n v="50"/>
    <s v="Male"/>
    <x v="0"/>
    <x v="0"/>
    <s v="Dr. Mehta"/>
    <x v="0"/>
    <s v="Hypertension"/>
    <d v="2024-08-11T00:00:00"/>
    <d v="2024-08-11T00:00:00"/>
    <n v="2900"/>
    <x v="7"/>
    <n v="0"/>
  </r>
  <r>
    <n v="262"/>
    <n v="36"/>
    <s v="Female"/>
    <x v="1"/>
    <x v="1"/>
    <s v="Dr. Shah"/>
    <x v="1"/>
    <s v="Migraine"/>
    <d v="2024-08-12T00:00:00"/>
    <d v="2024-08-17T00:00:00"/>
    <n v="10000"/>
    <x v="7"/>
    <n v="5"/>
  </r>
  <r>
    <n v="263"/>
    <n v="53"/>
    <s v="Male"/>
    <x v="2"/>
    <x v="2"/>
    <s v="Dr. Patel"/>
    <x v="0"/>
    <s v="Back Pain"/>
    <d v="2024-08-13T00:00:00"/>
    <d v="2024-08-13T00:00:00"/>
    <n v="3700"/>
    <x v="7"/>
    <n v="0"/>
  </r>
  <r>
    <n v="264"/>
    <n v="31"/>
    <s v="Female"/>
    <x v="3"/>
    <x v="3"/>
    <s v="Dr. Joshi"/>
    <x v="0"/>
    <s v="Skin Allergy"/>
    <d v="2024-08-14T00:00:00"/>
    <d v="2024-08-14T00:00:00"/>
    <n v="1800"/>
    <x v="7"/>
    <n v="0"/>
  </r>
  <r>
    <n v="265"/>
    <n v="59"/>
    <s v="Male"/>
    <x v="0"/>
    <x v="0"/>
    <s v="Dr. Mehta"/>
    <x v="1"/>
    <s v="Heart Disease"/>
    <d v="2024-08-15T00:00:00"/>
    <d v="2024-08-21T00:00:00"/>
    <n v="15500"/>
    <x v="7"/>
    <n v="6"/>
  </r>
  <r>
    <n v="266"/>
    <n v="43"/>
    <s v="Female"/>
    <x v="1"/>
    <x v="1"/>
    <s v="Dr. Shah"/>
    <x v="0"/>
    <s v="Migraine"/>
    <d v="2024-08-16T00:00:00"/>
    <d v="2024-08-16T00:00:00"/>
    <n v="3900"/>
    <x v="7"/>
    <n v="0"/>
  </r>
  <r>
    <n v="267"/>
    <n v="48"/>
    <s v="Male"/>
    <x v="2"/>
    <x v="2"/>
    <s v="Dr. Patel"/>
    <x v="1"/>
    <s v="Fracture"/>
    <d v="2024-08-17T00:00:00"/>
    <d v="2024-08-23T00:00:00"/>
    <n v="11000"/>
    <x v="7"/>
    <n v="6"/>
  </r>
  <r>
    <n v="268"/>
    <n v="30"/>
    <s v="Female"/>
    <x v="0"/>
    <x v="3"/>
    <s v="Dr. Joshi"/>
    <x v="0"/>
    <s v="Acne"/>
    <d v="2024-08-18T00:00:00"/>
    <d v="2024-08-18T00:00:00"/>
    <n v="1900"/>
    <x v="7"/>
    <n v="0"/>
  </r>
  <r>
    <n v="269"/>
    <n v="57"/>
    <s v="Male"/>
    <x v="3"/>
    <x v="0"/>
    <s v="Dr. Mehta"/>
    <x v="0"/>
    <s v="Chest Pain"/>
    <d v="2024-08-19T00:00:00"/>
    <d v="2024-08-19T00:00:00"/>
    <n v="3100"/>
    <x v="7"/>
    <n v="0"/>
  </r>
  <r>
    <n v="270"/>
    <n v="34"/>
    <s v="Female"/>
    <x v="1"/>
    <x v="1"/>
    <s v="Dr. Shah"/>
    <x v="1"/>
    <s v="Epilepsy"/>
    <d v="2024-08-20T00:00:00"/>
    <d v="2024-08-25T00:00:00"/>
    <n v="12000"/>
    <x v="7"/>
    <n v="5"/>
  </r>
  <r>
    <n v="271"/>
    <n v="64"/>
    <s v="Male"/>
    <x v="0"/>
    <x v="0"/>
    <s v="Dr. Mehta"/>
    <x v="1"/>
    <s v="Heart Attack"/>
    <d v="2024-08-21T00:00:00"/>
    <d v="2024-08-28T00:00:00"/>
    <n v="17000"/>
    <x v="7"/>
    <n v="7"/>
  </r>
  <r>
    <n v="272"/>
    <n v="38"/>
    <s v="Female"/>
    <x v="2"/>
    <x v="3"/>
    <s v="Dr. Joshi"/>
    <x v="0"/>
    <s v="Rash"/>
    <d v="2024-08-22T00:00:00"/>
    <d v="2024-08-22T00:00:00"/>
    <n v="1600"/>
    <x v="7"/>
    <n v="0"/>
  </r>
  <r>
    <n v="273"/>
    <n v="46"/>
    <s v="Male"/>
    <x v="1"/>
    <x v="2"/>
    <s v="Dr. Patel"/>
    <x v="0"/>
    <s v="Joint Pain"/>
    <d v="2024-08-23T00:00:00"/>
    <d v="2024-08-23T00:00:00"/>
    <n v="3400"/>
    <x v="7"/>
    <n v="0"/>
  </r>
  <r>
    <n v="274"/>
    <n v="29"/>
    <s v="Female"/>
    <x v="3"/>
    <x v="0"/>
    <s v="Dr. Mehta"/>
    <x v="0"/>
    <s v="Arrhythmia"/>
    <d v="2024-08-24T00:00:00"/>
    <d v="2024-08-24T00:00:00"/>
    <n v="3200"/>
    <x v="7"/>
    <n v="0"/>
  </r>
  <r>
    <n v="275"/>
    <n v="65"/>
    <s v="Male"/>
    <x v="0"/>
    <x v="1"/>
    <s v="Dr. Shah"/>
    <x v="1"/>
    <s v="Parkinson"/>
    <d v="2024-08-25T00:00:00"/>
    <d v="2024-09-01T00:00:00"/>
    <n v="16500"/>
    <x v="7"/>
    <n v="7"/>
  </r>
  <r>
    <n v="276"/>
    <n v="40"/>
    <s v="Female"/>
    <x v="1"/>
    <x v="0"/>
    <s v="Dr. Mehta"/>
    <x v="0"/>
    <s v="Hypertension"/>
    <d v="2024-08-26T00:00:00"/>
    <d v="2024-08-26T00:00:00"/>
    <n v="2700"/>
    <x v="7"/>
    <n v="0"/>
  </r>
  <r>
    <n v="277"/>
    <n v="51"/>
    <s v="Male"/>
    <x v="2"/>
    <x v="2"/>
    <s v="Dr. Patel"/>
    <x v="1"/>
    <s v="Fracture"/>
    <d v="2024-08-27T00:00:00"/>
    <d v="2024-09-02T00:00:00"/>
    <n v="11200"/>
    <x v="7"/>
    <n v="6"/>
  </r>
  <r>
    <n v="278"/>
    <n v="32"/>
    <s v="Female"/>
    <x v="0"/>
    <x v="3"/>
    <s v="Dr. Joshi"/>
    <x v="0"/>
    <s v="Acne"/>
    <d v="2024-08-28T00:00:00"/>
    <d v="2024-08-28T00:00:00"/>
    <n v="1900"/>
    <x v="7"/>
    <n v="0"/>
  </r>
  <r>
    <n v="279"/>
    <n v="56"/>
    <s v="Male"/>
    <x v="3"/>
    <x v="1"/>
    <s v="Dr. Shah"/>
    <x v="1"/>
    <s v="Stroke"/>
    <d v="2024-08-29T00:00:00"/>
    <d v="2024-09-04T00:00:00"/>
    <n v="15000"/>
    <x v="7"/>
    <n v="6"/>
  </r>
  <r>
    <n v="280"/>
    <n v="37"/>
    <s v="Female"/>
    <x v="1"/>
    <x v="0"/>
    <s v="Dr. Mehta"/>
    <x v="0"/>
    <s v="Chest Pain"/>
    <d v="2024-08-30T00:00:00"/>
    <d v="2024-08-30T00:00:00"/>
    <n v="3000"/>
    <x v="7"/>
    <n v="0"/>
  </r>
  <r>
    <n v="281"/>
    <n v="48"/>
    <s v="Male"/>
    <x v="0"/>
    <x v="2"/>
    <s v="Dr. Patel"/>
    <x v="0"/>
    <s v="Back Pain"/>
    <d v="2024-09-01T00:00:00"/>
    <d v="2024-09-01T00:00:00"/>
    <n v="3600"/>
    <x v="8"/>
    <n v="0"/>
  </r>
  <r>
    <n v="282"/>
    <n v="33"/>
    <s v="Female"/>
    <x v="1"/>
    <x v="3"/>
    <s v="Dr. Joshi"/>
    <x v="0"/>
    <s v="Skin Allergy"/>
    <d v="2024-09-02T00:00:00"/>
    <d v="2024-09-02T00:00:00"/>
    <n v="1800"/>
    <x v="8"/>
    <n v="0"/>
  </r>
  <r>
    <n v="283"/>
    <n v="60"/>
    <s v="Male"/>
    <x v="2"/>
    <x v="1"/>
    <s v="Dr. Shah"/>
    <x v="1"/>
    <s v="Stroke"/>
    <d v="2024-09-03T00:00:00"/>
    <d v="2024-09-09T00:00:00"/>
    <n v="16000"/>
    <x v="8"/>
    <n v="6"/>
  </r>
  <r>
    <n v="284"/>
    <n v="39"/>
    <s v="Female"/>
    <x v="3"/>
    <x v="0"/>
    <s v="Dr. Mehta"/>
    <x v="0"/>
    <s v="Hypertension"/>
    <d v="2024-09-04T00:00:00"/>
    <d v="2024-09-04T00:00:00"/>
    <n v="2800"/>
    <x v="8"/>
    <n v="0"/>
  </r>
  <r>
    <n v="285"/>
    <n v="50"/>
    <s v="Male"/>
    <x v="0"/>
    <x v="2"/>
    <s v="Dr. Patel"/>
    <x v="1"/>
    <s v="Fracture"/>
    <d v="2024-09-05T00:00:00"/>
    <d v="2024-09-11T00:00:00"/>
    <n v="11500"/>
    <x v="8"/>
    <n v="6"/>
  </r>
  <r>
    <n v="286"/>
    <n v="34"/>
    <s v="Female"/>
    <x v="1"/>
    <x v="0"/>
    <s v="Dr. Mehta"/>
    <x v="0"/>
    <s v="Chest Pain"/>
    <d v="2024-09-06T00:00:00"/>
    <d v="2024-09-06T00:00:00"/>
    <n v="3100"/>
    <x v="8"/>
    <n v="0"/>
  </r>
  <r>
    <n v="287"/>
    <n v="45"/>
    <s v="Male"/>
    <x v="2"/>
    <x v="1"/>
    <s v="Dr. Shah"/>
    <x v="0"/>
    <s v="Migraine"/>
    <d v="2024-09-07T00:00:00"/>
    <d v="2024-09-07T00:00:00"/>
    <n v="3900"/>
    <x v="8"/>
    <n v="0"/>
  </r>
  <r>
    <n v="288"/>
    <n v="31"/>
    <s v="Female"/>
    <x v="0"/>
    <x v="3"/>
    <s v="Dr. Joshi"/>
    <x v="0"/>
    <s v="Acne"/>
    <d v="2024-09-08T00:00:00"/>
    <d v="2024-09-08T00:00:00"/>
    <n v="2000"/>
    <x v="8"/>
    <n v="0"/>
  </r>
  <r>
    <n v="289"/>
    <n v="58"/>
    <s v="Male"/>
    <x v="3"/>
    <x v="0"/>
    <s v="Dr. Mehta"/>
    <x v="1"/>
    <s v="Heart Disease"/>
    <d v="2024-09-09T00:00:00"/>
    <d v="2024-09-15T00:00:00"/>
    <n v="15500"/>
    <x v="8"/>
    <n v="6"/>
  </r>
  <r>
    <n v="290"/>
    <n v="41"/>
    <s v="Female"/>
    <x v="1"/>
    <x v="2"/>
    <s v="Dr. Patel"/>
    <x v="0"/>
    <s v="Joint Pain"/>
    <d v="2024-09-10T00:00:00"/>
    <d v="2024-09-10T00:00:00"/>
    <n v="3500"/>
    <x v="8"/>
    <n v="0"/>
  </r>
  <r>
    <n v="291"/>
    <n v="53"/>
    <s v="Male"/>
    <x v="0"/>
    <x v="1"/>
    <s v="Dr. Shah"/>
    <x v="1"/>
    <s v="Epilepsy"/>
    <d v="2024-09-11T00:00:00"/>
    <d v="2024-09-17T00:00:00"/>
    <n v="14000"/>
    <x v="8"/>
    <n v="6"/>
  </r>
  <r>
    <n v="292"/>
    <n v="36"/>
    <s v="Female"/>
    <x v="2"/>
    <x v="0"/>
    <s v="Dr. Mehta"/>
    <x v="0"/>
    <s v="Arrhythmia"/>
    <d v="2024-09-12T00:00:00"/>
    <d v="2024-09-12T00:00:00"/>
    <n v="3300"/>
    <x v="8"/>
    <n v="0"/>
  </r>
  <r>
    <n v="293"/>
    <n v="61"/>
    <s v="Male"/>
    <x v="3"/>
    <x v="2"/>
    <s v="Dr. Patel"/>
    <x v="1"/>
    <s v="Back Pain"/>
    <d v="2024-09-13T00:00:00"/>
    <d v="2024-09-19T00:00:00"/>
    <n v="11500"/>
    <x v="8"/>
    <n v="6"/>
  </r>
  <r>
    <n v="294"/>
    <n v="30"/>
    <s v="Female"/>
    <x v="0"/>
    <x v="3"/>
    <s v="Dr. Joshi"/>
    <x v="0"/>
    <s v="Rash"/>
    <d v="2024-09-14T00:00:00"/>
    <d v="2024-09-14T00:00:00"/>
    <n v="1700"/>
    <x v="8"/>
    <n v="0"/>
  </r>
  <r>
    <n v="295"/>
    <n v="49"/>
    <s v="Male"/>
    <x v="1"/>
    <x v="0"/>
    <s v="Dr. Mehta"/>
    <x v="0"/>
    <s v="Hypertension"/>
    <d v="2024-09-15T00:00:00"/>
    <d v="2024-09-15T00:00:00"/>
    <n v="2900"/>
    <x v="8"/>
    <n v="0"/>
  </r>
  <r>
    <n v="296"/>
    <n v="42"/>
    <s v="Female"/>
    <x v="2"/>
    <x v="1"/>
    <s v="Dr. Shah"/>
    <x v="1"/>
    <s v="Migraine"/>
    <d v="2024-09-16T00:00:00"/>
    <d v="2024-09-21T00:00:00"/>
    <n v="10000"/>
    <x v="8"/>
    <n v="5"/>
  </r>
  <r>
    <n v="297"/>
    <n v="55"/>
    <s v="Male"/>
    <x v="0"/>
    <x v="2"/>
    <s v="Dr. Patel"/>
    <x v="0"/>
    <s v="Joint Pain"/>
    <d v="2024-09-17T00:00:00"/>
    <d v="2024-09-17T00:00:00"/>
    <n v="3700"/>
    <x v="8"/>
    <n v="0"/>
  </r>
  <r>
    <n v="298"/>
    <n v="38"/>
    <s v="Female"/>
    <x v="3"/>
    <x v="0"/>
    <s v="Dr. Mehta"/>
    <x v="0"/>
    <s v="Chest Pain"/>
    <d v="2024-09-18T00:00:00"/>
    <d v="2024-09-18T00:00:00"/>
    <n v="3100"/>
    <x v="8"/>
    <n v="0"/>
  </r>
  <r>
    <n v="299"/>
    <n v="63"/>
    <s v="Male"/>
    <x v="1"/>
    <x v="1"/>
    <s v="Dr. Shah"/>
    <x v="1"/>
    <s v="Parkinson"/>
    <d v="2024-09-19T00:00:00"/>
    <d v="2024-09-25T00:00:00"/>
    <n v="16500"/>
    <x v="8"/>
    <n v="6"/>
  </r>
  <r>
    <n v="300"/>
    <n v="32"/>
    <s v="Female"/>
    <x v="0"/>
    <x v="3"/>
    <s v="Dr. Joshi"/>
    <x v="0"/>
    <s v="Acne"/>
    <d v="2024-09-20T00:00:00"/>
    <d v="2024-09-20T00:00:00"/>
    <n v="2000"/>
    <x v="8"/>
    <n v="0"/>
  </r>
  <r>
    <n v="301"/>
    <n v="47"/>
    <s v="Male"/>
    <x v="0"/>
    <x v="0"/>
    <s v="Dr. Mehta"/>
    <x v="0"/>
    <s v="Hypertension"/>
    <d v="2024-09-21T00:00:00"/>
    <d v="2024-09-21T00:00:00"/>
    <n v="3000"/>
    <x v="8"/>
    <n v="0"/>
  </r>
  <r>
    <n v="302"/>
    <n v="35"/>
    <s v="Female"/>
    <x v="1"/>
    <x v="1"/>
    <s v="Dr. Shah"/>
    <x v="1"/>
    <s v="Migraine"/>
    <d v="2024-09-22T00:00:00"/>
    <d v="2024-09-27T00:00:00"/>
    <n v="10200"/>
    <x v="8"/>
    <n v="5"/>
  </r>
  <r>
    <n v="303"/>
    <n v="52"/>
    <s v="Male"/>
    <x v="2"/>
    <x v="2"/>
    <s v="Dr. Patel"/>
    <x v="0"/>
    <s v="Back Pain"/>
    <d v="2024-09-23T00:00:00"/>
    <d v="2024-09-23T00:00:00"/>
    <n v="3800"/>
    <x v="8"/>
    <n v="0"/>
  </r>
  <r>
    <n v="304"/>
    <n v="31"/>
    <s v="Female"/>
    <x v="3"/>
    <x v="3"/>
    <s v="Dr. Joshi"/>
    <x v="0"/>
    <s v="Skin Allergy"/>
    <d v="2024-09-24T00:00:00"/>
    <d v="2024-09-24T00:00:00"/>
    <n v="1800"/>
    <x v="8"/>
    <n v="0"/>
  </r>
  <r>
    <n v="305"/>
    <n v="59"/>
    <s v="Male"/>
    <x v="0"/>
    <x v="0"/>
    <s v="Dr. Mehta"/>
    <x v="1"/>
    <s v="Heart Disease"/>
    <d v="2024-09-25T00:00:00"/>
    <d v="2024-10-01T00:00:00"/>
    <n v="16000"/>
    <x v="8"/>
    <n v="6"/>
  </r>
  <r>
    <n v="306"/>
    <n v="43"/>
    <s v="Female"/>
    <x v="1"/>
    <x v="1"/>
    <s v="Dr. Shah"/>
    <x v="0"/>
    <s v="Migraine"/>
    <d v="2024-09-26T00:00:00"/>
    <d v="2024-09-26T00:00:00"/>
    <n v="4000"/>
    <x v="8"/>
    <n v="0"/>
  </r>
  <r>
    <n v="307"/>
    <n v="48"/>
    <s v="Male"/>
    <x v="2"/>
    <x v="2"/>
    <s v="Dr. Patel"/>
    <x v="1"/>
    <s v="Fracture"/>
    <d v="2024-09-27T00:00:00"/>
    <d v="2024-10-03T00:00:00"/>
    <n v="11500"/>
    <x v="8"/>
    <n v="6"/>
  </r>
  <r>
    <n v="308"/>
    <n v="30"/>
    <s v="Female"/>
    <x v="0"/>
    <x v="3"/>
    <s v="Dr. Joshi"/>
    <x v="0"/>
    <s v="Acne"/>
    <d v="2024-09-28T00:00:00"/>
    <d v="2024-09-28T00:00:00"/>
    <n v="2000"/>
    <x v="8"/>
    <n v="0"/>
  </r>
  <r>
    <n v="309"/>
    <n v="57"/>
    <s v="Male"/>
    <x v="3"/>
    <x v="0"/>
    <s v="Dr. Mehta"/>
    <x v="0"/>
    <s v="Chest Pain"/>
    <d v="2024-09-29T00:00:00"/>
    <d v="2024-09-29T00:00:00"/>
    <n v="3200"/>
    <x v="8"/>
    <n v="0"/>
  </r>
  <r>
    <n v="310"/>
    <n v="34"/>
    <s v="Female"/>
    <x v="1"/>
    <x v="1"/>
    <s v="Dr. Shah"/>
    <x v="1"/>
    <s v="Epilepsy"/>
    <d v="2024-09-30T00:00:00"/>
    <d v="2024-10-05T00:00:00"/>
    <n v="12500"/>
    <x v="8"/>
    <n v="5"/>
  </r>
  <r>
    <n v="311"/>
    <n v="64"/>
    <s v="Male"/>
    <x v="0"/>
    <x v="0"/>
    <s v="Dr. Mehta"/>
    <x v="1"/>
    <s v="Heart Attack"/>
    <d v="2024-10-01T00:00:00"/>
    <d v="2024-10-08T00:00:00"/>
    <n v="17500"/>
    <x v="9"/>
    <n v="7"/>
  </r>
  <r>
    <n v="312"/>
    <n v="38"/>
    <s v="Female"/>
    <x v="2"/>
    <x v="3"/>
    <s v="Dr. Joshi"/>
    <x v="0"/>
    <s v="Rash"/>
    <d v="2024-10-02T00:00:00"/>
    <d v="2024-10-02T00:00:00"/>
    <n v="1700"/>
    <x v="9"/>
    <n v="0"/>
  </r>
  <r>
    <n v="313"/>
    <n v="46"/>
    <s v="Male"/>
    <x v="1"/>
    <x v="2"/>
    <s v="Dr. Patel"/>
    <x v="0"/>
    <s v="Joint Pain"/>
    <d v="2024-10-03T00:00:00"/>
    <d v="2024-10-03T00:00:00"/>
    <n v="3600"/>
    <x v="9"/>
    <n v="0"/>
  </r>
  <r>
    <n v="314"/>
    <n v="29"/>
    <s v="Female"/>
    <x v="3"/>
    <x v="0"/>
    <s v="Dr. Mehta"/>
    <x v="0"/>
    <s v="Arrhythmia"/>
    <d v="2024-10-04T00:00:00"/>
    <d v="2024-10-04T00:00:00"/>
    <n v="3300"/>
    <x v="9"/>
    <n v="0"/>
  </r>
  <r>
    <n v="315"/>
    <n v="65"/>
    <s v="Male"/>
    <x v="0"/>
    <x v="1"/>
    <s v="Dr. Shah"/>
    <x v="1"/>
    <s v="Parkinson"/>
    <d v="2024-10-05T00:00:00"/>
    <d v="2024-10-12T00:00:00"/>
    <n v="17000"/>
    <x v="9"/>
    <n v="7"/>
  </r>
  <r>
    <n v="316"/>
    <n v="40"/>
    <s v="Female"/>
    <x v="1"/>
    <x v="0"/>
    <s v="Dr. Mehta"/>
    <x v="0"/>
    <s v="Hypertension"/>
    <d v="2024-10-06T00:00:00"/>
    <d v="2024-10-06T00:00:00"/>
    <n v="2800"/>
    <x v="9"/>
    <n v="0"/>
  </r>
  <r>
    <n v="317"/>
    <n v="51"/>
    <s v="Male"/>
    <x v="2"/>
    <x v="2"/>
    <s v="Dr. Patel"/>
    <x v="1"/>
    <s v="Fracture"/>
    <d v="2024-10-07T00:00:00"/>
    <d v="2024-10-13T00:00:00"/>
    <n v="11800"/>
    <x v="9"/>
    <n v="6"/>
  </r>
  <r>
    <n v="318"/>
    <n v="32"/>
    <s v="Female"/>
    <x v="0"/>
    <x v="3"/>
    <s v="Dr. Joshi"/>
    <x v="0"/>
    <s v="Acne"/>
    <d v="2024-10-08T00:00:00"/>
    <d v="2024-10-08T00:00:00"/>
    <n v="2000"/>
    <x v="9"/>
    <n v="0"/>
  </r>
  <r>
    <n v="319"/>
    <n v="56"/>
    <s v="Male"/>
    <x v="3"/>
    <x v="1"/>
    <s v="Dr. Shah"/>
    <x v="1"/>
    <s v="Stroke"/>
    <d v="2024-10-09T00:00:00"/>
    <d v="2024-10-15T00:00:00"/>
    <n v="15500"/>
    <x v="9"/>
    <n v="6"/>
  </r>
  <r>
    <n v="320"/>
    <n v="37"/>
    <s v="Female"/>
    <x v="1"/>
    <x v="0"/>
    <s v="Dr. Mehta"/>
    <x v="0"/>
    <s v="Chest Pain"/>
    <d v="2024-10-10T00:00:00"/>
    <d v="2024-10-10T00:00:00"/>
    <n v="3200"/>
    <x v="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F9E529-6439-4678-BF7C-D38309F025CD}"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Month">
  <location ref="D3:E14" firstHeaderRow="1" firstDataRow="1" firstDataCol="1"/>
  <pivotFields count="13">
    <pivotField showAll="0"/>
    <pivotField showAll="0"/>
    <pivotField showAll="0"/>
    <pivotField showAll="0"/>
    <pivotField showAll="0">
      <items count="5">
        <item x="0"/>
        <item x="3"/>
        <item x="1"/>
        <item x="2"/>
        <item t="default"/>
      </items>
    </pivotField>
    <pivotField showAll="0"/>
    <pivotField showAll="0">
      <items count="3">
        <item x="1"/>
        <item x="0"/>
        <item t="default"/>
      </items>
    </pivotField>
    <pivotField showAll="0"/>
    <pivotField numFmtId="14" showAll="0"/>
    <pivotField numFmtId="14" showAll="0"/>
    <pivotField dataField="1" showAll="0"/>
    <pivotField axis="axisRow" showAll="0">
      <items count="11">
        <item x="0"/>
        <item x="1"/>
        <item x="2"/>
        <item x="3"/>
        <item x="4"/>
        <item x="5"/>
        <item x="6"/>
        <item x="7"/>
        <item x="8"/>
        <item x="9"/>
        <item t="default"/>
      </items>
    </pivotField>
    <pivotField showAll="0"/>
  </pivotFields>
  <rowFields count="1">
    <field x="11"/>
  </rowFields>
  <rowItems count="11">
    <i>
      <x/>
    </i>
    <i>
      <x v="1"/>
    </i>
    <i>
      <x v="2"/>
    </i>
    <i>
      <x v="3"/>
    </i>
    <i>
      <x v="4"/>
    </i>
    <i>
      <x v="5"/>
    </i>
    <i>
      <x v="6"/>
    </i>
    <i>
      <x v="7"/>
    </i>
    <i>
      <x v="8"/>
    </i>
    <i>
      <x v="9"/>
    </i>
    <i t="grand">
      <x/>
    </i>
  </rowItems>
  <colItems count="1">
    <i/>
  </colItems>
  <dataFields count="1">
    <dataField name="Total Revenue" fld="10" baseField="11"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C8456-EC8B-4CF1-BEBE-19C04C9A4E69}"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Visit Type">
  <location ref="A24:B27" firstHeaderRow="1" firstDataRow="1" firstDataCol="1"/>
  <pivotFields count="13">
    <pivotField dataField="1" showAll="0"/>
    <pivotField showAll="0"/>
    <pivotField showAll="0"/>
    <pivotField showAll="0"/>
    <pivotField showAll="0">
      <items count="5">
        <item x="0"/>
        <item x="3"/>
        <item x="1"/>
        <item x="2"/>
        <item t="default"/>
      </items>
    </pivotField>
    <pivotField showAll="0"/>
    <pivotField axis="axisRow" showAll="0">
      <items count="3">
        <item x="1"/>
        <item x="0"/>
        <item t="default"/>
      </items>
    </pivotField>
    <pivotField showAll="0"/>
    <pivotField numFmtId="14" showAll="0"/>
    <pivotField numFmtId="14" showAll="0"/>
    <pivotField showAll="0"/>
    <pivotField showAll="0"/>
    <pivotField showAll="0"/>
  </pivotFields>
  <rowFields count="1">
    <field x="6"/>
  </rowFields>
  <rowItems count="3">
    <i>
      <x/>
    </i>
    <i>
      <x v="1"/>
    </i>
    <i t="grand">
      <x/>
    </i>
  </rowItems>
  <colItems count="1">
    <i/>
  </colItems>
  <dataFields count="1">
    <dataField name="Total Patients" fld="0" subtotal="count" baseField="6" baseItem="0"/>
  </dataField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05D8D0-E0F1-443E-B3A7-FE85866CBC7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ity">
  <location ref="A17:B22" firstHeaderRow="1" firstDataRow="1" firstDataCol="1"/>
  <pivotFields count="13">
    <pivotField dataField="1" showAll="0"/>
    <pivotField showAll="0"/>
    <pivotField showAll="0"/>
    <pivotField axis="axisRow" showAll="0">
      <items count="5">
        <item x="0"/>
        <item x="3"/>
        <item x="1"/>
        <item x="2"/>
        <item t="default"/>
      </items>
    </pivotField>
    <pivotField showAll="0">
      <items count="5">
        <item x="0"/>
        <item x="3"/>
        <item x="1"/>
        <item x="2"/>
        <item t="default"/>
      </items>
    </pivotField>
    <pivotField showAll="0"/>
    <pivotField showAll="0">
      <items count="3">
        <item x="1"/>
        <item x="0"/>
        <item t="default"/>
      </items>
    </pivotField>
    <pivotField showAll="0"/>
    <pivotField numFmtId="14" showAll="0"/>
    <pivotField numFmtId="14" showAll="0"/>
    <pivotField showAll="0"/>
    <pivotField showAll="0"/>
    <pivotField showAll="0"/>
  </pivotFields>
  <rowFields count="1">
    <field x="3"/>
  </rowFields>
  <rowItems count="5">
    <i>
      <x/>
    </i>
    <i>
      <x v="1"/>
    </i>
    <i>
      <x v="2"/>
    </i>
    <i>
      <x v="3"/>
    </i>
    <i t="grand">
      <x/>
    </i>
  </rowItems>
  <colItems count="1">
    <i/>
  </colItems>
  <dataFields count="1">
    <dataField name="Total Patients" fld="0" subtotal="count" baseField="3"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777C70-7D22-4934-9257-5FDA75869B1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epartment">
  <location ref="A10:B15" firstHeaderRow="1" firstDataRow="1" firstDataCol="1"/>
  <pivotFields count="13">
    <pivotField showAll="0"/>
    <pivotField showAll="0"/>
    <pivotField showAll="0"/>
    <pivotField showAll="0"/>
    <pivotField axis="axisRow" showAll="0">
      <items count="5">
        <item x="0"/>
        <item x="3"/>
        <item x="1"/>
        <item x="2"/>
        <item t="default"/>
      </items>
    </pivotField>
    <pivotField showAll="0"/>
    <pivotField showAll="0">
      <items count="3">
        <item x="1"/>
        <item x="0"/>
        <item t="default"/>
      </items>
    </pivotField>
    <pivotField showAll="0"/>
    <pivotField numFmtId="14" showAll="0"/>
    <pivotField numFmtId="14" showAll="0"/>
    <pivotField dataField="1" showAll="0"/>
    <pivotField showAll="0"/>
    <pivotField showAll="0"/>
  </pivotFields>
  <rowFields count="1">
    <field x="4"/>
  </rowFields>
  <rowItems count="5">
    <i>
      <x/>
    </i>
    <i>
      <x v="1"/>
    </i>
    <i>
      <x v="2"/>
    </i>
    <i>
      <x v="3"/>
    </i>
    <i t="grand">
      <x/>
    </i>
  </rowItems>
  <colItems count="1">
    <i/>
  </colItems>
  <dataFields count="1">
    <dataField name="Total Revenue" fld="10" baseField="4"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B6FFA9-3930-460F-B4B8-053F4D73275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partment">
  <location ref="A3:B8" firstHeaderRow="1" firstDataRow="1" firstDataCol="1"/>
  <pivotFields count="13">
    <pivotField dataField="1" showAll="0"/>
    <pivotField showAll="0"/>
    <pivotField showAll="0"/>
    <pivotField showAll="0">
      <items count="5">
        <item x="0"/>
        <item x="3"/>
        <item x="1"/>
        <item x="2"/>
        <item t="default"/>
      </items>
    </pivotField>
    <pivotField axis="axisRow" showAll="0">
      <items count="5">
        <item x="0"/>
        <item x="3"/>
        <item x="1"/>
        <item x="2"/>
        <item t="default"/>
      </items>
    </pivotField>
    <pivotField showAll="0"/>
    <pivotField showAll="0">
      <items count="3">
        <item x="1"/>
        <item x="0"/>
        <item t="default"/>
      </items>
    </pivotField>
    <pivotField showAll="0"/>
    <pivotField numFmtId="14" showAll="0"/>
    <pivotField numFmtId="14" showAll="0"/>
    <pivotField showAll="0"/>
    <pivotField showAll="0"/>
    <pivotField showAll="0"/>
  </pivotFields>
  <rowFields count="1">
    <field x="4"/>
  </rowFields>
  <rowItems count="5">
    <i>
      <x/>
    </i>
    <i>
      <x v="1"/>
    </i>
    <i>
      <x v="2"/>
    </i>
    <i>
      <x v="3"/>
    </i>
    <i t="grand">
      <x/>
    </i>
  </rowItems>
  <colItems count="1">
    <i/>
  </colItems>
  <dataFields count="1">
    <dataField name="Total Patients" fld="0" subtotal="count"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2FF563F-5214-44C3-A388-186C3BE1E9E8}" sourceName="City">
  <pivotTables>
    <pivotTable tabId="4" name="PivotTable1"/>
  </pivotTables>
  <data>
    <tabular pivotCacheId="56783060">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27F9270E-FE62-4762-BA7B-7AAE3133A3A2}" sourceName="Department">
  <pivotTables>
    <pivotTable tabId="4" name="PivotTable1"/>
  </pivotTables>
  <data>
    <tabular pivotCacheId="56783060">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E12C553C-5E6D-45C8-AA1C-D901F57194C9}" sourceName="Visit_Type">
  <pivotTables>
    <pivotTable tabId="4" name="PivotTable1"/>
    <pivotTable tabId="4" name="PivotTable2"/>
    <pivotTable tabId="4" name="PivotTable3"/>
    <pivotTable tabId="4" name="PivotTable4"/>
    <pivotTable tabId="4" name="PivotTable5"/>
  </pivotTables>
  <data>
    <tabular pivotCacheId="567830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532F2EF-66B0-4F43-B72F-4922EC541924}" cache="Slicer_City1" caption="City" style="SlicerStyleDark1 2" rowHeight="234950"/>
  <slicer name="Department 1" xr10:uid="{62950634-CF05-4555-A3BD-AAAB386A15B1}" cache="Slicer_Department1" caption="Department" style="SlicerStyleDark1 2" rowHeight="234950"/>
  <slicer name="Visit_Type" xr10:uid="{23C0F4FB-405B-403C-9436-6A9909A176D2}" cache="Slicer_Visit_Type" caption="Visit_Type"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455527-C744-41D3-AF0B-8788AFFBFD90}" name="Table1" displayName="Table1" ref="A1:M221" totalsRowShown="0">
  <autoFilter ref="A1:M221" xr:uid="{3E455527-C744-41D3-AF0B-8788AFFBFD90}"/>
  <tableColumns count="13">
    <tableColumn id="1" xr3:uid="{905CC9B2-D7C3-4947-8692-2FEF2B40E415}" name="Patient_ID"/>
    <tableColumn id="2" xr3:uid="{549CBD59-65B6-4725-8AB8-ACC77D1F7FB0}" name="Age"/>
    <tableColumn id="3" xr3:uid="{5C19D3AF-A091-4AA3-B256-77049E07C05B}" name="Gender"/>
    <tableColumn id="4" xr3:uid="{923E80E1-EF1F-4257-9218-7753395DD57C}" name="City"/>
    <tableColumn id="5" xr3:uid="{40187AA3-9293-450A-8E6F-4239B8527023}" name="Department"/>
    <tableColumn id="6" xr3:uid="{FDA056A9-DF05-43BC-94EC-9BEB83282147}" name="Doctor"/>
    <tableColumn id="7" xr3:uid="{9D31098E-BD76-4CC5-A255-EB651432A958}" name="Visit_Type"/>
    <tableColumn id="8" xr3:uid="{AFDC84D1-7FDE-4366-8AF9-067D5AF1F3AA}" name="Diagnosis"/>
    <tableColumn id="9" xr3:uid="{40982500-12AD-44BF-9182-2AB2A042CC71}" name="Admission_Date" dataDxfId="5"/>
    <tableColumn id="10" xr3:uid="{A97CB6B9-FAD4-4B41-99C9-14BC33652A65}" name="Discharge_Date" dataDxfId="4"/>
    <tableColumn id="11" xr3:uid="{398C09FA-02AA-48AD-9FCE-91177E8A72D8}" name="Cost"/>
    <tableColumn id="12" xr3:uid="{96DCF8E4-144D-40DB-B581-0C86553D5818}" name="Month" dataDxfId="3">
      <calculatedColumnFormula>TEXT(I2,"mmm")</calculatedColumnFormula>
    </tableColumn>
    <tableColumn id="13" xr3:uid="{73CD3CC8-1E3E-44C8-8FBD-597A998C8D85}" name="Length of Stay" dataDxfId="2">
      <calculatedColumnFormula>Table1[[#This Row],[Discharge_Date]]-Table1[[#This Row],[Admission_Date]]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9277-077A-46C7-BE71-1E4057CEFA2B}">
  <dimension ref="A1:M221"/>
  <sheetViews>
    <sheetView topLeftCell="A2" workbookViewId="0">
      <selection activeCell="D35" sqref="D35"/>
    </sheetView>
  </sheetViews>
  <sheetFormatPr defaultRowHeight="14.4" x14ac:dyDescent="0.3"/>
  <cols>
    <col min="1" max="1" width="11.6640625" customWidth="1"/>
    <col min="2" max="2" width="6.109375" customWidth="1"/>
    <col min="3" max="3" width="9" customWidth="1"/>
    <col min="4" max="4" width="10.6640625" bestFit="1" customWidth="1"/>
    <col min="5" max="5" width="13" customWidth="1"/>
    <col min="6" max="6" width="9.21875" bestFit="1" customWidth="1"/>
    <col min="7" max="7" width="11.5546875" customWidth="1"/>
    <col min="8" max="8" width="12.21875" bestFit="1" customWidth="1"/>
    <col min="9" max="9" width="16.44140625" customWidth="1"/>
    <col min="10" max="10" width="15.88671875" customWidth="1"/>
    <col min="11" max="11" width="6.5546875" customWidth="1"/>
  </cols>
  <sheetData>
    <row r="1" spans="1:13" x14ac:dyDescent="0.3">
      <c r="A1" t="s">
        <v>0</v>
      </c>
      <c r="B1" t="s">
        <v>1</v>
      </c>
      <c r="C1" t="s">
        <v>2</v>
      </c>
      <c r="D1" t="s">
        <v>3</v>
      </c>
      <c r="E1" t="s">
        <v>4</v>
      </c>
      <c r="F1" t="s">
        <v>5</v>
      </c>
      <c r="G1" t="s">
        <v>6</v>
      </c>
      <c r="H1" t="s">
        <v>7</v>
      </c>
      <c r="I1" t="s">
        <v>8</v>
      </c>
      <c r="J1" t="s">
        <v>9</v>
      </c>
      <c r="K1" t="s">
        <v>10</v>
      </c>
      <c r="L1" t="s">
        <v>42</v>
      </c>
      <c r="M1" t="s">
        <v>43</v>
      </c>
    </row>
    <row r="2" spans="1:13" x14ac:dyDescent="0.3">
      <c r="A2">
        <v>101</v>
      </c>
      <c r="B2">
        <v>25</v>
      </c>
      <c r="C2" t="s">
        <v>11</v>
      </c>
      <c r="D2" t="s">
        <v>12</v>
      </c>
      <c r="E2" t="s">
        <v>13</v>
      </c>
      <c r="F2" t="s">
        <v>14</v>
      </c>
      <c r="G2" t="s">
        <v>15</v>
      </c>
      <c r="H2" t="s">
        <v>16</v>
      </c>
      <c r="I2" s="1">
        <v>45296</v>
      </c>
      <c r="J2" s="1">
        <v>45296</v>
      </c>
      <c r="K2">
        <v>2000</v>
      </c>
      <c r="L2" t="str">
        <f t="shared" ref="L2:L65" si="0">TEXT(I2,"mmm")</f>
        <v>Jan</v>
      </c>
      <c r="M2">
        <f>Table1[[#This Row],[Discharge_Date]]-Table1[[#This Row],[Admission_Date]]</f>
        <v>0</v>
      </c>
    </row>
    <row r="3" spans="1:13" x14ac:dyDescent="0.3">
      <c r="A3">
        <v>102</v>
      </c>
      <c r="B3">
        <v>32</v>
      </c>
      <c r="C3" t="s">
        <v>17</v>
      </c>
      <c r="D3" t="s">
        <v>18</v>
      </c>
      <c r="E3" t="s">
        <v>19</v>
      </c>
      <c r="F3" t="s">
        <v>20</v>
      </c>
      <c r="G3" t="s">
        <v>21</v>
      </c>
      <c r="H3" t="s">
        <v>22</v>
      </c>
      <c r="I3" s="1">
        <v>45301</v>
      </c>
      <c r="J3" s="1">
        <v>45305</v>
      </c>
      <c r="K3">
        <v>8000</v>
      </c>
      <c r="L3" t="str">
        <f t="shared" si="0"/>
        <v>Jan</v>
      </c>
      <c r="M3">
        <f>Table1[[#This Row],[Discharge_Date]]-Table1[[#This Row],[Admission_Date]]</f>
        <v>4</v>
      </c>
    </row>
    <row r="4" spans="1:13" x14ac:dyDescent="0.3">
      <c r="A4">
        <v>103</v>
      </c>
      <c r="B4">
        <v>45</v>
      </c>
      <c r="C4" t="s">
        <v>11</v>
      </c>
      <c r="D4" t="s">
        <v>23</v>
      </c>
      <c r="E4" t="s">
        <v>24</v>
      </c>
      <c r="F4" t="s">
        <v>25</v>
      </c>
      <c r="G4" t="s">
        <v>15</v>
      </c>
      <c r="H4" t="s">
        <v>26</v>
      </c>
      <c r="I4" s="1">
        <v>45303</v>
      </c>
      <c r="J4" s="1">
        <v>45303</v>
      </c>
      <c r="K4">
        <v>3500</v>
      </c>
      <c r="L4" t="str">
        <f t="shared" si="0"/>
        <v>Jan</v>
      </c>
      <c r="M4">
        <f>Table1[[#This Row],[Discharge_Date]]-Table1[[#This Row],[Admission_Date]]</f>
        <v>0</v>
      </c>
    </row>
    <row r="5" spans="1:13" x14ac:dyDescent="0.3">
      <c r="A5">
        <v>104</v>
      </c>
      <c r="B5">
        <v>29</v>
      </c>
      <c r="C5" t="s">
        <v>17</v>
      </c>
      <c r="D5" t="s">
        <v>12</v>
      </c>
      <c r="E5" t="s">
        <v>13</v>
      </c>
      <c r="F5" t="s">
        <v>14</v>
      </c>
      <c r="G5" t="s">
        <v>21</v>
      </c>
      <c r="H5" t="s">
        <v>27</v>
      </c>
      <c r="I5" s="1">
        <v>45306</v>
      </c>
      <c r="J5" s="1">
        <v>45311</v>
      </c>
      <c r="K5">
        <v>12000</v>
      </c>
      <c r="L5" t="str">
        <f t="shared" si="0"/>
        <v>Jan</v>
      </c>
      <c r="M5">
        <f>Table1[[#This Row],[Discharge_Date]]-Table1[[#This Row],[Admission_Date]]</f>
        <v>5</v>
      </c>
    </row>
    <row r="6" spans="1:13" x14ac:dyDescent="0.3">
      <c r="A6">
        <v>105</v>
      </c>
      <c r="B6">
        <v>50</v>
      </c>
      <c r="C6" t="s">
        <v>11</v>
      </c>
      <c r="D6" t="s">
        <v>28</v>
      </c>
      <c r="E6" t="s">
        <v>19</v>
      </c>
      <c r="F6" t="s">
        <v>20</v>
      </c>
      <c r="G6" t="s">
        <v>15</v>
      </c>
      <c r="H6" t="s">
        <v>29</v>
      </c>
      <c r="I6" s="1">
        <v>45309</v>
      </c>
      <c r="J6" s="1">
        <v>45309</v>
      </c>
      <c r="K6">
        <v>4000</v>
      </c>
      <c r="L6" t="str">
        <f t="shared" si="0"/>
        <v>Jan</v>
      </c>
      <c r="M6">
        <f>Table1[[#This Row],[Discharge_Date]]-Table1[[#This Row],[Admission_Date]]</f>
        <v>0</v>
      </c>
    </row>
    <row r="7" spans="1:13" x14ac:dyDescent="0.3">
      <c r="A7">
        <v>106</v>
      </c>
      <c r="B7">
        <v>38</v>
      </c>
      <c r="C7" t="s">
        <v>17</v>
      </c>
      <c r="D7" t="s">
        <v>18</v>
      </c>
      <c r="E7" t="s">
        <v>30</v>
      </c>
      <c r="F7" t="s">
        <v>31</v>
      </c>
      <c r="G7" t="s">
        <v>15</v>
      </c>
      <c r="H7" t="s">
        <v>32</v>
      </c>
      <c r="I7" s="1">
        <v>45311</v>
      </c>
      <c r="J7" s="1">
        <v>45311</v>
      </c>
      <c r="K7">
        <v>1500</v>
      </c>
      <c r="L7" t="str">
        <f t="shared" si="0"/>
        <v>Jan</v>
      </c>
      <c r="M7">
        <f>Table1[[#This Row],[Discharge_Date]]-Table1[[#This Row],[Admission_Date]]</f>
        <v>0</v>
      </c>
    </row>
    <row r="8" spans="1:13" x14ac:dyDescent="0.3">
      <c r="A8">
        <v>107</v>
      </c>
      <c r="B8">
        <v>41</v>
      </c>
      <c r="C8" t="s">
        <v>11</v>
      </c>
      <c r="D8" t="s">
        <v>23</v>
      </c>
      <c r="E8" t="s">
        <v>24</v>
      </c>
      <c r="F8" t="s">
        <v>25</v>
      </c>
      <c r="G8" t="s">
        <v>21</v>
      </c>
      <c r="H8" t="s">
        <v>33</v>
      </c>
      <c r="I8" s="1">
        <v>45313</v>
      </c>
      <c r="J8" s="1">
        <v>45317</v>
      </c>
      <c r="K8">
        <v>9000</v>
      </c>
      <c r="L8" t="str">
        <f t="shared" si="0"/>
        <v>Jan</v>
      </c>
      <c r="M8">
        <f>Table1[[#This Row],[Discharge_Date]]-Table1[[#This Row],[Admission_Date]]</f>
        <v>4</v>
      </c>
    </row>
    <row r="9" spans="1:13" x14ac:dyDescent="0.3">
      <c r="A9">
        <v>108</v>
      </c>
      <c r="B9">
        <v>27</v>
      </c>
      <c r="C9" t="s">
        <v>17</v>
      </c>
      <c r="D9" t="s">
        <v>12</v>
      </c>
      <c r="E9" t="s">
        <v>30</v>
      </c>
      <c r="F9" t="s">
        <v>31</v>
      </c>
      <c r="G9" t="s">
        <v>15</v>
      </c>
      <c r="H9" t="s">
        <v>34</v>
      </c>
      <c r="I9" s="1">
        <v>45316</v>
      </c>
      <c r="J9" s="1">
        <v>45316</v>
      </c>
      <c r="K9">
        <v>1800</v>
      </c>
      <c r="L9" t="str">
        <f t="shared" si="0"/>
        <v>Jan</v>
      </c>
      <c r="M9">
        <f>Table1[[#This Row],[Discharge_Date]]-Table1[[#This Row],[Admission_Date]]</f>
        <v>0</v>
      </c>
    </row>
    <row r="10" spans="1:13" x14ac:dyDescent="0.3">
      <c r="A10">
        <v>109</v>
      </c>
      <c r="B10">
        <v>36</v>
      </c>
      <c r="C10" t="s">
        <v>11</v>
      </c>
      <c r="D10" t="s">
        <v>28</v>
      </c>
      <c r="E10" t="s">
        <v>13</v>
      </c>
      <c r="F10" t="s">
        <v>14</v>
      </c>
      <c r="G10" t="s">
        <v>15</v>
      </c>
      <c r="H10" t="s">
        <v>35</v>
      </c>
      <c r="I10" s="1">
        <v>45318</v>
      </c>
      <c r="J10" s="1">
        <v>45318</v>
      </c>
      <c r="K10">
        <v>2500</v>
      </c>
      <c r="L10" t="str">
        <f t="shared" si="0"/>
        <v>Jan</v>
      </c>
      <c r="M10">
        <f>Table1[[#This Row],[Discharge_Date]]-Table1[[#This Row],[Admission_Date]]</f>
        <v>0</v>
      </c>
    </row>
    <row r="11" spans="1:13" x14ac:dyDescent="0.3">
      <c r="A11">
        <v>110</v>
      </c>
      <c r="B11">
        <v>48</v>
      </c>
      <c r="C11" t="s">
        <v>17</v>
      </c>
      <c r="D11" t="s">
        <v>18</v>
      </c>
      <c r="E11" t="s">
        <v>19</v>
      </c>
      <c r="F11" t="s">
        <v>20</v>
      </c>
      <c r="G11" t="s">
        <v>21</v>
      </c>
      <c r="H11" t="s">
        <v>36</v>
      </c>
      <c r="I11" s="1">
        <v>45319</v>
      </c>
      <c r="J11" s="1">
        <v>45324</v>
      </c>
      <c r="K11">
        <v>10000</v>
      </c>
      <c r="L11" t="str">
        <f t="shared" si="0"/>
        <v>Jan</v>
      </c>
      <c r="M11">
        <f>Table1[[#This Row],[Discharge_Date]]-Table1[[#This Row],[Admission_Date]]</f>
        <v>5</v>
      </c>
    </row>
    <row r="12" spans="1:13" x14ac:dyDescent="0.3">
      <c r="A12">
        <v>111</v>
      </c>
      <c r="B12">
        <v>55</v>
      </c>
      <c r="C12" t="s">
        <v>11</v>
      </c>
      <c r="D12" t="s">
        <v>12</v>
      </c>
      <c r="E12" t="s">
        <v>13</v>
      </c>
      <c r="F12" t="s">
        <v>14</v>
      </c>
      <c r="G12" t="s">
        <v>21</v>
      </c>
      <c r="H12" t="s">
        <v>37</v>
      </c>
      <c r="I12" s="1">
        <v>45325</v>
      </c>
      <c r="J12" s="1">
        <v>45332</v>
      </c>
      <c r="K12">
        <v>15000</v>
      </c>
      <c r="L12" t="str">
        <f t="shared" si="0"/>
        <v>Feb</v>
      </c>
      <c r="M12">
        <f>Table1[[#This Row],[Discharge_Date]]-Table1[[#This Row],[Admission_Date]]</f>
        <v>7</v>
      </c>
    </row>
    <row r="13" spans="1:13" x14ac:dyDescent="0.3">
      <c r="A13">
        <v>112</v>
      </c>
      <c r="B13">
        <v>33</v>
      </c>
      <c r="C13" t="s">
        <v>17</v>
      </c>
      <c r="D13" t="s">
        <v>23</v>
      </c>
      <c r="E13" t="s">
        <v>30</v>
      </c>
      <c r="F13" t="s">
        <v>31</v>
      </c>
      <c r="G13" t="s">
        <v>15</v>
      </c>
      <c r="H13" t="s">
        <v>38</v>
      </c>
      <c r="I13" s="1">
        <v>45327</v>
      </c>
      <c r="J13" s="1">
        <v>45327</v>
      </c>
      <c r="K13">
        <v>1200</v>
      </c>
      <c r="L13" t="str">
        <f t="shared" si="0"/>
        <v>Feb</v>
      </c>
      <c r="M13">
        <f>Table1[[#This Row],[Discharge_Date]]-Table1[[#This Row],[Admission_Date]]</f>
        <v>0</v>
      </c>
    </row>
    <row r="14" spans="1:13" x14ac:dyDescent="0.3">
      <c r="A14">
        <v>113</v>
      </c>
      <c r="B14">
        <v>42</v>
      </c>
      <c r="C14" t="s">
        <v>11</v>
      </c>
      <c r="D14" t="s">
        <v>18</v>
      </c>
      <c r="E14" t="s">
        <v>24</v>
      </c>
      <c r="F14" t="s">
        <v>25</v>
      </c>
      <c r="G14" t="s">
        <v>15</v>
      </c>
      <c r="H14" t="s">
        <v>39</v>
      </c>
      <c r="I14" s="1">
        <v>45329</v>
      </c>
      <c r="J14" s="1">
        <v>45329</v>
      </c>
      <c r="K14">
        <v>3000</v>
      </c>
      <c r="L14" t="str">
        <f t="shared" si="0"/>
        <v>Feb</v>
      </c>
      <c r="M14">
        <f>Table1[[#This Row],[Discharge_Date]]-Table1[[#This Row],[Admission_Date]]</f>
        <v>0</v>
      </c>
    </row>
    <row r="15" spans="1:13" x14ac:dyDescent="0.3">
      <c r="A15">
        <v>114</v>
      </c>
      <c r="B15">
        <v>26</v>
      </c>
      <c r="C15" t="s">
        <v>17</v>
      </c>
      <c r="D15" t="s">
        <v>28</v>
      </c>
      <c r="E15" t="s">
        <v>13</v>
      </c>
      <c r="F15" t="s">
        <v>14</v>
      </c>
      <c r="G15" t="s">
        <v>15</v>
      </c>
      <c r="H15" t="s">
        <v>40</v>
      </c>
      <c r="I15" s="1">
        <v>45331</v>
      </c>
      <c r="J15" s="1">
        <v>45331</v>
      </c>
      <c r="K15">
        <v>2800</v>
      </c>
      <c r="L15" t="str">
        <f t="shared" si="0"/>
        <v>Feb</v>
      </c>
      <c r="M15">
        <f>Table1[[#This Row],[Discharge_Date]]-Table1[[#This Row],[Admission_Date]]</f>
        <v>0</v>
      </c>
    </row>
    <row r="16" spans="1:13" x14ac:dyDescent="0.3">
      <c r="A16">
        <v>115</v>
      </c>
      <c r="B16">
        <v>60</v>
      </c>
      <c r="C16" t="s">
        <v>11</v>
      </c>
      <c r="D16" t="s">
        <v>12</v>
      </c>
      <c r="E16" t="s">
        <v>19</v>
      </c>
      <c r="F16" t="s">
        <v>20</v>
      </c>
      <c r="G16" t="s">
        <v>21</v>
      </c>
      <c r="H16" t="s">
        <v>41</v>
      </c>
      <c r="I16" s="1">
        <v>45334</v>
      </c>
      <c r="J16" s="1">
        <v>45340</v>
      </c>
      <c r="K16">
        <v>14000</v>
      </c>
      <c r="L16" t="str">
        <f t="shared" si="0"/>
        <v>Feb</v>
      </c>
      <c r="M16">
        <f>Table1[[#This Row],[Discharge_Date]]-Table1[[#This Row],[Admission_Date]]</f>
        <v>6</v>
      </c>
    </row>
    <row r="17" spans="1:13" x14ac:dyDescent="0.3">
      <c r="A17">
        <v>116</v>
      </c>
      <c r="B17">
        <v>39</v>
      </c>
      <c r="C17" t="s">
        <v>17</v>
      </c>
      <c r="D17" t="s">
        <v>18</v>
      </c>
      <c r="E17" t="s">
        <v>13</v>
      </c>
      <c r="F17" t="s">
        <v>14</v>
      </c>
      <c r="G17" t="s">
        <v>15</v>
      </c>
      <c r="H17" t="s">
        <v>16</v>
      </c>
      <c r="I17" s="1">
        <v>45337</v>
      </c>
      <c r="J17" s="1">
        <v>45337</v>
      </c>
      <c r="K17">
        <v>2200</v>
      </c>
      <c r="L17" t="str">
        <f t="shared" si="0"/>
        <v>Feb</v>
      </c>
      <c r="M17">
        <f>Table1[[#This Row],[Discharge_Date]]-Table1[[#This Row],[Admission_Date]]</f>
        <v>0</v>
      </c>
    </row>
    <row r="18" spans="1:13" x14ac:dyDescent="0.3">
      <c r="A18">
        <v>117</v>
      </c>
      <c r="B18">
        <v>47</v>
      </c>
      <c r="C18" t="s">
        <v>11</v>
      </c>
      <c r="D18" t="s">
        <v>23</v>
      </c>
      <c r="E18" t="s">
        <v>24</v>
      </c>
      <c r="F18" t="s">
        <v>25</v>
      </c>
      <c r="G18" t="s">
        <v>21</v>
      </c>
      <c r="H18" t="s">
        <v>26</v>
      </c>
      <c r="I18" s="1">
        <v>45340</v>
      </c>
      <c r="J18" s="1">
        <v>45346</v>
      </c>
      <c r="K18">
        <v>9500</v>
      </c>
      <c r="L18" t="str">
        <f t="shared" si="0"/>
        <v>Feb</v>
      </c>
      <c r="M18">
        <f>Table1[[#This Row],[Discharge_Date]]-Table1[[#This Row],[Admission_Date]]</f>
        <v>6</v>
      </c>
    </row>
    <row r="19" spans="1:13" x14ac:dyDescent="0.3">
      <c r="A19">
        <v>118</v>
      </c>
      <c r="B19">
        <v>28</v>
      </c>
      <c r="C19" t="s">
        <v>17</v>
      </c>
      <c r="D19" t="s">
        <v>12</v>
      </c>
      <c r="E19" t="s">
        <v>30</v>
      </c>
      <c r="F19" t="s">
        <v>31</v>
      </c>
      <c r="G19" t="s">
        <v>15</v>
      </c>
      <c r="H19" t="s">
        <v>34</v>
      </c>
      <c r="I19" s="1">
        <v>45342</v>
      </c>
      <c r="J19" s="1">
        <v>45342</v>
      </c>
      <c r="K19">
        <v>1700</v>
      </c>
      <c r="L19" t="str">
        <f t="shared" si="0"/>
        <v>Feb</v>
      </c>
      <c r="M19">
        <f>Table1[[#This Row],[Discharge_Date]]-Table1[[#This Row],[Admission_Date]]</f>
        <v>0</v>
      </c>
    </row>
    <row r="20" spans="1:13" x14ac:dyDescent="0.3">
      <c r="A20">
        <v>119</v>
      </c>
      <c r="B20">
        <v>52</v>
      </c>
      <c r="C20" t="s">
        <v>11</v>
      </c>
      <c r="D20" t="s">
        <v>28</v>
      </c>
      <c r="E20" t="s">
        <v>19</v>
      </c>
      <c r="F20" t="s">
        <v>20</v>
      </c>
      <c r="G20" t="s">
        <v>21</v>
      </c>
      <c r="H20" t="s">
        <v>29</v>
      </c>
      <c r="I20" s="1">
        <v>45344</v>
      </c>
      <c r="J20" s="1">
        <v>45350</v>
      </c>
      <c r="K20">
        <v>13000</v>
      </c>
      <c r="L20" t="str">
        <f t="shared" si="0"/>
        <v>Feb</v>
      </c>
      <c r="M20">
        <f>Table1[[#This Row],[Discharge_Date]]-Table1[[#This Row],[Admission_Date]]</f>
        <v>6</v>
      </c>
    </row>
    <row r="21" spans="1:13" x14ac:dyDescent="0.3">
      <c r="A21">
        <v>120</v>
      </c>
      <c r="B21">
        <v>31</v>
      </c>
      <c r="C21" t="s">
        <v>17</v>
      </c>
      <c r="D21" t="s">
        <v>18</v>
      </c>
      <c r="E21" t="s">
        <v>13</v>
      </c>
      <c r="F21" t="s">
        <v>14</v>
      </c>
      <c r="G21" t="s">
        <v>15</v>
      </c>
      <c r="H21" t="s">
        <v>35</v>
      </c>
      <c r="I21" s="1">
        <v>45347</v>
      </c>
      <c r="J21" s="1">
        <v>45347</v>
      </c>
      <c r="K21">
        <v>2600</v>
      </c>
      <c r="L21" t="str">
        <f t="shared" si="0"/>
        <v>Feb</v>
      </c>
      <c r="M21">
        <f>Table1[[#This Row],[Discharge_Date]]-Table1[[#This Row],[Admission_Date]]</f>
        <v>0</v>
      </c>
    </row>
    <row r="22" spans="1:13" x14ac:dyDescent="0.3">
      <c r="A22">
        <v>121</v>
      </c>
      <c r="B22">
        <v>44</v>
      </c>
      <c r="C22" t="s">
        <v>11</v>
      </c>
      <c r="D22" t="s">
        <v>12</v>
      </c>
      <c r="E22" t="s">
        <v>24</v>
      </c>
      <c r="F22" t="s">
        <v>25</v>
      </c>
      <c r="G22" t="s">
        <v>15</v>
      </c>
      <c r="H22" t="s">
        <v>33</v>
      </c>
      <c r="I22" s="1">
        <v>45352</v>
      </c>
      <c r="J22" s="1">
        <v>45352</v>
      </c>
      <c r="K22">
        <v>3200</v>
      </c>
      <c r="L22" t="str">
        <f t="shared" si="0"/>
        <v>Mar</v>
      </c>
      <c r="M22">
        <f>Table1[[#This Row],[Discharge_Date]]-Table1[[#This Row],[Admission_Date]]</f>
        <v>0</v>
      </c>
    </row>
    <row r="23" spans="1:13" x14ac:dyDescent="0.3">
      <c r="A23">
        <v>122</v>
      </c>
      <c r="B23">
        <v>29</v>
      </c>
      <c r="C23" t="s">
        <v>17</v>
      </c>
      <c r="D23" t="s">
        <v>18</v>
      </c>
      <c r="E23" t="s">
        <v>30</v>
      </c>
      <c r="F23" t="s">
        <v>31</v>
      </c>
      <c r="G23" t="s">
        <v>15</v>
      </c>
      <c r="H23" t="s">
        <v>32</v>
      </c>
      <c r="I23" s="1">
        <v>45353</v>
      </c>
      <c r="J23" s="1">
        <v>45353</v>
      </c>
      <c r="K23">
        <v>1600</v>
      </c>
      <c r="L23" t="str">
        <f t="shared" si="0"/>
        <v>Mar</v>
      </c>
      <c r="M23">
        <f>Table1[[#This Row],[Discharge_Date]]-Table1[[#This Row],[Admission_Date]]</f>
        <v>0</v>
      </c>
    </row>
    <row r="24" spans="1:13" x14ac:dyDescent="0.3">
      <c r="A24">
        <v>123</v>
      </c>
      <c r="B24">
        <v>58</v>
      </c>
      <c r="C24" t="s">
        <v>11</v>
      </c>
      <c r="D24" t="s">
        <v>23</v>
      </c>
      <c r="E24" t="s">
        <v>19</v>
      </c>
      <c r="F24" t="s">
        <v>20</v>
      </c>
      <c r="G24" t="s">
        <v>21</v>
      </c>
      <c r="H24" t="s">
        <v>29</v>
      </c>
      <c r="I24" s="1">
        <v>45354</v>
      </c>
      <c r="J24" s="1">
        <v>45360</v>
      </c>
      <c r="K24">
        <v>14500</v>
      </c>
      <c r="L24" t="str">
        <f t="shared" si="0"/>
        <v>Mar</v>
      </c>
      <c r="M24">
        <f>Table1[[#This Row],[Discharge_Date]]-Table1[[#This Row],[Admission_Date]]</f>
        <v>6</v>
      </c>
    </row>
    <row r="25" spans="1:13" x14ac:dyDescent="0.3">
      <c r="A25">
        <v>124</v>
      </c>
      <c r="B25">
        <v>35</v>
      </c>
      <c r="C25" t="s">
        <v>17</v>
      </c>
      <c r="D25" t="s">
        <v>28</v>
      </c>
      <c r="E25" t="s">
        <v>13</v>
      </c>
      <c r="F25" t="s">
        <v>14</v>
      </c>
      <c r="G25" t="s">
        <v>15</v>
      </c>
      <c r="H25" t="s">
        <v>16</v>
      </c>
      <c r="I25" s="1">
        <v>45356</v>
      </c>
      <c r="J25" s="1">
        <v>45356</v>
      </c>
      <c r="K25">
        <v>2400</v>
      </c>
      <c r="L25" t="str">
        <f t="shared" si="0"/>
        <v>Mar</v>
      </c>
      <c r="M25">
        <f>Table1[[#This Row],[Discharge_Date]]-Table1[[#This Row],[Admission_Date]]</f>
        <v>0</v>
      </c>
    </row>
    <row r="26" spans="1:13" x14ac:dyDescent="0.3">
      <c r="A26">
        <v>125</v>
      </c>
      <c r="B26">
        <v>46</v>
      </c>
      <c r="C26" t="s">
        <v>11</v>
      </c>
      <c r="D26" t="s">
        <v>12</v>
      </c>
      <c r="E26" t="s">
        <v>24</v>
      </c>
      <c r="F26" t="s">
        <v>25</v>
      </c>
      <c r="G26" t="s">
        <v>21</v>
      </c>
      <c r="H26" t="s">
        <v>26</v>
      </c>
      <c r="I26" s="1">
        <v>45357</v>
      </c>
      <c r="J26" s="1">
        <v>45363</v>
      </c>
      <c r="K26">
        <v>9800</v>
      </c>
      <c r="L26" t="str">
        <f t="shared" si="0"/>
        <v>Mar</v>
      </c>
      <c r="M26">
        <f>Table1[[#This Row],[Discharge_Date]]-Table1[[#This Row],[Admission_Date]]</f>
        <v>6</v>
      </c>
    </row>
    <row r="27" spans="1:13" x14ac:dyDescent="0.3">
      <c r="A27">
        <v>126</v>
      </c>
      <c r="B27">
        <v>30</v>
      </c>
      <c r="C27" t="s">
        <v>17</v>
      </c>
      <c r="D27" t="s">
        <v>18</v>
      </c>
      <c r="E27" t="s">
        <v>13</v>
      </c>
      <c r="F27" t="s">
        <v>14</v>
      </c>
      <c r="G27" t="s">
        <v>15</v>
      </c>
      <c r="H27" t="s">
        <v>35</v>
      </c>
      <c r="I27" s="1">
        <v>45359</v>
      </c>
      <c r="J27" s="1">
        <v>45359</v>
      </c>
      <c r="K27">
        <v>2700</v>
      </c>
      <c r="L27" t="str">
        <f t="shared" si="0"/>
        <v>Mar</v>
      </c>
      <c r="M27">
        <f>Table1[[#This Row],[Discharge_Date]]-Table1[[#This Row],[Admission_Date]]</f>
        <v>0</v>
      </c>
    </row>
    <row r="28" spans="1:13" x14ac:dyDescent="0.3">
      <c r="A28">
        <v>127</v>
      </c>
      <c r="B28">
        <v>41</v>
      </c>
      <c r="C28" t="s">
        <v>11</v>
      </c>
      <c r="D28" t="s">
        <v>23</v>
      </c>
      <c r="E28" t="s">
        <v>19</v>
      </c>
      <c r="F28" t="s">
        <v>20</v>
      </c>
      <c r="G28" t="s">
        <v>15</v>
      </c>
      <c r="H28" t="s">
        <v>22</v>
      </c>
      <c r="I28" s="1">
        <v>45361</v>
      </c>
      <c r="J28" s="1">
        <v>45361</v>
      </c>
      <c r="K28">
        <v>3500</v>
      </c>
      <c r="L28" t="str">
        <f t="shared" si="0"/>
        <v>Mar</v>
      </c>
      <c r="M28">
        <f>Table1[[#This Row],[Discharge_Date]]-Table1[[#This Row],[Admission_Date]]</f>
        <v>0</v>
      </c>
    </row>
    <row r="29" spans="1:13" x14ac:dyDescent="0.3">
      <c r="A29">
        <v>128</v>
      </c>
      <c r="B29">
        <v>27</v>
      </c>
      <c r="C29" t="s">
        <v>17</v>
      </c>
      <c r="D29" t="s">
        <v>12</v>
      </c>
      <c r="E29" t="s">
        <v>30</v>
      </c>
      <c r="F29" t="s">
        <v>31</v>
      </c>
      <c r="G29" t="s">
        <v>15</v>
      </c>
      <c r="H29" t="s">
        <v>34</v>
      </c>
      <c r="I29" s="1">
        <v>45363</v>
      </c>
      <c r="J29" s="1">
        <v>45363</v>
      </c>
      <c r="K29">
        <v>1800</v>
      </c>
      <c r="L29" t="str">
        <f t="shared" si="0"/>
        <v>Mar</v>
      </c>
      <c r="M29">
        <f>Table1[[#This Row],[Discharge_Date]]-Table1[[#This Row],[Admission_Date]]</f>
        <v>0</v>
      </c>
    </row>
    <row r="30" spans="1:13" x14ac:dyDescent="0.3">
      <c r="A30">
        <v>129</v>
      </c>
      <c r="B30">
        <v>53</v>
      </c>
      <c r="C30" t="s">
        <v>11</v>
      </c>
      <c r="D30" t="s">
        <v>28</v>
      </c>
      <c r="E30" t="s">
        <v>13</v>
      </c>
      <c r="F30" t="s">
        <v>14</v>
      </c>
      <c r="G30" t="s">
        <v>21</v>
      </c>
      <c r="H30" t="s">
        <v>27</v>
      </c>
      <c r="I30" s="1">
        <v>45365</v>
      </c>
      <c r="J30" s="1">
        <v>45371</v>
      </c>
      <c r="K30">
        <v>13500</v>
      </c>
      <c r="L30" t="str">
        <f t="shared" si="0"/>
        <v>Mar</v>
      </c>
      <c r="M30">
        <f>Table1[[#This Row],[Discharge_Date]]-Table1[[#This Row],[Admission_Date]]</f>
        <v>6</v>
      </c>
    </row>
    <row r="31" spans="1:13" x14ac:dyDescent="0.3">
      <c r="A31">
        <v>130</v>
      </c>
      <c r="B31">
        <v>37</v>
      </c>
      <c r="C31" t="s">
        <v>17</v>
      </c>
      <c r="D31" t="s">
        <v>18</v>
      </c>
      <c r="E31" t="s">
        <v>24</v>
      </c>
      <c r="F31" t="s">
        <v>25</v>
      </c>
      <c r="G31" t="s">
        <v>15</v>
      </c>
      <c r="H31" t="s">
        <v>39</v>
      </c>
      <c r="I31" s="1">
        <v>45366</v>
      </c>
      <c r="J31" s="1">
        <v>45366</v>
      </c>
      <c r="K31">
        <v>3100</v>
      </c>
      <c r="L31" t="str">
        <f t="shared" si="0"/>
        <v>Mar</v>
      </c>
      <c r="M31">
        <f>Table1[[#This Row],[Discharge_Date]]-Table1[[#This Row],[Admission_Date]]</f>
        <v>0</v>
      </c>
    </row>
    <row r="32" spans="1:13" x14ac:dyDescent="0.3">
      <c r="A32">
        <v>131</v>
      </c>
      <c r="B32">
        <v>49</v>
      </c>
      <c r="C32" t="s">
        <v>11</v>
      </c>
      <c r="D32" t="s">
        <v>12</v>
      </c>
      <c r="E32" t="s">
        <v>19</v>
      </c>
      <c r="F32" t="s">
        <v>20</v>
      </c>
      <c r="G32" t="s">
        <v>21</v>
      </c>
      <c r="H32" t="s">
        <v>36</v>
      </c>
      <c r="I32" s="1">
        <v>45369</v>
      </c>
      <c r="J32" s="1">
        <v>45375</v>
      </c>
      <c r="K32">
        <v>12000</v>
      </c>
      <c r="L32" t="str">
        <f t="shared" si="0"/>
        <v>Mar</v>
      </c>
      <c r="M32">
        <f>Table1[[#This Row],[Discharge_Date]]-Table1[[#This Row],[Admission_Date]]</f>
        <v>6</v>
      </c>
    </row>
    <row r="33" spans="1:13" x14ac:dyDescent="0.3">
      <c r="A33">
        <v>132</v>
      </c>
      <c r="B33">
        <v>34</v>
      </c>
      <c r="C33" t="s">
        <v>17</v>
      </c>
      <c r="D33" t="s">
        <v>23</v>
      </c>
      <c r="E33" t="s">
        <v>13</v>
      </c>
      <c r="F33" t="s">
        <v>14</v>
      </c>
      <c r="G33" t="s">
        <v>15</v>
      </c>
      <c r="H33" t="s">
        <v>40</v>
      </c>
      <c r="I33" s="1">
        <v>45371</v>
      </c>
      <c r="J33" s="1">
        <v>45371</v>
      </c>
      <c r="K33">
        <v>2900</v>
      </c>
      <c r="L33" t="str">
        <f t="shared" si="0"/>
        <v>Mar</v>
      </c>
      <c r="M33">
        <f>Table1[[#This Row],[Discharge_Date]]-Table1[[#This Row],[Admission_Date]]</f>
        <v>0</v>
      </c>
    </row>
    <row r="34" spans="1:13" x14ac:dyDescent="0.3">
      <c r="A34">
        <v>133</v>
      </c>
      <c r="B34">
        <v>56</v>
      </c>
      <c r="C34" t="s">
        <v>11</v>
      </c>
      <c r="D34" t="s">
        <v>28</v>
      </c>
      <c r="E34" t="s">
        <v>24</v>
      </c>
      <c r="F34" t="s">
        <v>25</v>
      </c>
      <c r="G34" t="s">
        <v>21</v>
      </c>
      <c r="H34" t="s">
        <v>33</v>
      </c>
      <c r="I34" s="1">
        <v>45373</v>
      </c>
      <c r="J34" s="1">
        <v>45379</v>
      </c>
      <c r="K34">
        <v>10200</v>
      </c>
      <c r="L34" t="str">
        <f t="shared" si="0"/>
        <v>Mar</v>
      </c>
      <c r="M34">
        <f>Table1[[#This Row],[Discharge_Date]]-Table1[[#This Row],[Admission_Date]]</f>
        <v>6</v>
      </c>
    </row>
    <row r="35" spans="1:13" x14ac:dyDescent="0.3">
      <c r="A35">
        <v>134</v>
      </c>
      <c r="B35">
        <v>28</v>
      </c>
      <c r="C35" t="s">
        <v>17</v>
      </c>
      <c r="D35" t="s">
        <v>12</v>
      </c>
      <c r="E35" t="s">
        <v>30</v>
      </c>
      <c r="F35" t="s">
        <v>31</v>
      </c>
      <c r="G35" t="s">
        <v>15</v>
      </c>
      <c r="H35" t="s">
        <v>38</v>
      </c>
      <c r="I35" s="1">
        <v>45376</v>
      </c>
      <c r="J35" s="1">
        <v>45376</v>
      </c>
      <c r="K35">
        <v>1400</v>
      </c>
      <c r="L35" t="str">
        <f t="shared" si="0"/>
        <v>Mar</v>
      </c>
      <c r="M35">
        <f>Table1[[#This Row],[Discharge_Date]]-Table1[[#This Row],[Admission_Date]]</f>
        <v>0</v>
      </c>
    </row>
    <row r="36" spans="1:13" x14ac:dyDescent="0.3">
      <c r="A36">
        <v>135</v>
      </c>
      <c r="B36">
        <v>45</v>
      </c>
      <c r="C36" t="s">
        <v>11</v>
      </c>
      <c r="D36" t="s">
        <v>18</v>
      </c>
      <c r="E36" t="s">
        <v>13</v>
      </c>
      <c r="F36" t="s">
        <v>14</v>
      </c>
      <c r="G36" t="s">
        <v>15</v>
      </c>
      <c r="H36" t="s">
        <v>16</v>
      </c>
      <c r="I36" s="1">
        <v>45378</v>
      </c>
      <c r="J36" s="1">
        <v>45378</v>
      </c>
      <c r="K36">
        <v>2600</v>
      </c>
      <c r="L36" t="str">
        <f t="shared" si="0"/>
        <v>Mar</v>
      </c>
      <c r="M36">
        <f>Table1[[#This Row],[Discharge_Date]]-Table1[[#This Row],[Admission_Date]]</f>
        <v>0</v>
      </c>
    </row>
    <row r="37" spans="1:13" x14ac:dyDescent="0.3">
      <c r="A37">
        <v>136</v>
      </c>
      <c r="B37">
        <v>38</v>
      </c>
      <c r="C37" t="s">
        <v>17</v>
      </c>
      <c r="D37" t="s">
        <v>23</v>
      </c>
      <c r="E37" t="s">
        <v>19</v>
      </c>
      <c r="F37" t="s">
        <v>20</v>
      </c>
      <c r="G37" t="s">
        <v>21</v>
      </c>
      <c r="H37" t="s">
        <v>22</v>
      </c>
      <c r="I37" s="1">
        <v>45379</v>
      </c>
      <c r="J37" s="1">
        <v>45384</v>
      </c>
      <c r="K37">
        <v>9000</v>
      </c>
      <c r="L37" t="str">
        <f t="shared" si="0"/>
        <v>Mar</v>
      </c>
      <c r="M37">
        <f>Table1[[#This Row],[Discharge_Date]]-Table1[[#This Row],[Admission_Date]]</f>
        <v>5</v>
      </c>
    </row>
    <row r="38" spans="1:13" x14ac:dyDescent="0.3">
      <c r="A38">
        <v>137</v>
      </c>
      <c r="B38">
        <v>51</v>
      </c>
      <c r="C38" t="s">
        <v>11</v>
      </c>
      <c r="D38" t="s">
        <v>12</v>
      </c>
      <c r="E38" t="s">
        <v>24</v>
      </c>
      <c r="F38" t="s">
        <v>25</v>
      </c>
      <c r="G38" t="s">
        <v>15</v>
      </c>
      <c r="H38" t="s">
        <v>39</v>
      </c>
      <c r="I38" s="1">
        <v>45383</v>
      </c>
      <c r="J38" s="1">
        <v>45383</v>
      </c>
      <c r="K38">
        <v>3300</v>
      </c>
      <c r="L38" t="str">
        <f t="shared" si="0"/>
        <v>Apr</v>
      </c>
      <c r="M38">
        <f>Table1[[#This Row],[Discharge_Date]]-Table1[[#This Row],[Admission_Date]]</f>
        <v>0</v>
      </c>
    </row>
    <row r="39" spans="1:13" x14ac:dyDescent="0.3">
      <c r="A39">
        <v>138</v>
      </c>
      <c r="B39">
        <v>33</v>
      </c>
      <c r="C39" t="s">
        <v>17</v>
      </c>
      <c r="D39" t="s">
        <v>28</v>
      </c>
      <c r="E39" t="s">
        <v>13</v>
      </c>
      <c r="F39" t="s">
        <v>14</v>
      </c>
      <c r="G39" t="s">
        <v>15</v>
      </c>
      <c r="H39" t="s">
        <v>35</v>
      </c>
      <c r="I39" s="1">
        <v>45384</v>
      </c>
      <c r="J39" s="1">
        <v>45384</v>
      </c>
      <c r="K39">
        <v>2800</v>
      </c>
      <c r="L39" t="str">
        <f t="shared" si="0"/>
        <v>Apr</v>
      </c>
      <c r="M39">
        <f>Table1[[#This Row],[Discharge_Date]]-Table1[[#This Row],[Admission_Date]]</f>
        <v>0</v>
      </c>
    </row>
    <row r="40" spans="1:13" x14ac:dyDescent="0.3">
      <c r="A40">
        <v>139</v>
      </c>
      <c r="B40">
        <v>60</v>
      </c>
      <c r="C40" t="s">
        <v>11</v>
      </c>
      <c r="D40" t="s">
        <v>18</v>
      </c>
      <c r="E40" t="s">
        <v>19</v>
      </c>
      <c r="F40" t="s">
        <v>20</v>
      </c>
      <c r="G40" t="s">
        <v>21</v>
      </c>
      <c r="H40" t="s">
        <v>41</v>
      </c>
      <c r="I40" s="1">
        <v>45385</v>
      </c>
      <c r="J40" s="1">
        <v>45392</v>
      </c>
      <c r="K40">
        <v>15000</v>
      </c>
      <c r="L40" t="str">
        <f t="shared" si="0"/>
        <v>Apr</v>
      </c>
      <c r="M40">
        <f>Table1[[#This Row],[Discharge_Date]]-Table1[[#This Row],[Admission_Date]]</f>
        <v>7</v>
      </c>
    </row>
    <row r="41" spans="1:13" x14ac:dyDescent="0.3">
      <c r="A41">
        <v>140</v>
      </c>
      <c r="B41">
        <v>29</v>
      </c>
      <c r="C41" t="s">
        <v>17</v>
      </c>
      <c r="D41" t="s">
        <v>12</v>
      </c>
      <c r="E41" t="s">
        <v>30</v>
      </c>
      <c r="F41" t="s">
        <v>31</v>
      </c>
      <c r="G41" t="s">
        <v>15</v>
      </c>
      <c r="H41" t="s">
        <v>34</v>
      </c>
      <c r="I41" s="1">
        <v>45387</v>
      </c>
      <c r="J41" s="1">
        <v>45387</v>
      </c>
      <c r="K41">
        <v>1700</v>
      </c>
      <c r="L41" t="str">
        <f t="shared" si="0"/>
        <v>Apr</v>
      </c>
      <c r="M41">
        <f>Table1[[#This Row],[Discharge_Date]]-Table1[[#This Row],[Admission_Date]]</f>
        <v>0</v>
      </c>
    </row>
    <row r="42" spans="1:13" x14ac:dyDescent="0.3">
      <c r="A42">
        <v>141</v>
      </c>
      <c r="B42">
        <v>47</v>
      </c>
      <c r="C42" t="s">
        <v>11</v>
      </c>
      <c r="D42" t="s">
        <v>12</v>
      </c>
      <c r="E42" t="s">
        <v>13</v>
      </c>
      <c r="F42" t="s">
        <v>14</v>
      </c>
      <c r="G42" t="s">
        <v>15</v>
      </c>
      <c r="H42" t="s">
        <v>16</v>
      </c>
      <c r="I42" s="1">
        <v>45389</v>
      </c>
      <c r="J42" s="1">
        <v>45389</v>
      </c>
      <c r="K42">
        <v>2600</v>
      </c>
      <c r="L42" t="str">
        <f t="shared" si="0"/>
        <v>Apr</v>
      </c>
      <c r="M42">
        <f>Table1[[#This Row],[Discharge_Date]]-Table1[[#This Row],[Admission_Date]]</f>
        <v>0</v>
      </c>
    </row>
    <row r="43" spans="1:13" x14ac:dyDescent="0.3">
      <c r="A43">
        <v>142</v>
      </c>
      <c r="B43">
        <v>36</v>
      </c>
      <c r="C43" t="s">
        <v>17</v>
      </c>
      <c r="D43" t="s">
        <v>18</v>
      </c>
      <c r="E43" t="s">
        <v>19</v>
      </c>
      <c r="F43" t="s">
        <v>20</v>
      </c>
      <c r="G43" t="s">
        <v>21</v>
      </c>
      <c r="H43" t="s">
        <v>22</v>
      </c>
      <c r="I43" s="1">
        <v>45390</v>
      </c>
      <c r="J43" s="1">
        <v>45394</v>
      </c>
      <c r="K43">
        <v>9200</v>
      </c>
      <c r="L43" t="str">
        <f t="shared" si="0"/>
        <v>Apr</v>
      </c>
      <c r="M43">
        <f>Table1[[#This Row],[Discharge_Date]]-Table1[[#This Row],[Admission_Date]]</f>
        <v>4</v>
      </c>
    </row>
    <row r="44" spans="1:13" x14ac:dyDescent="0.3">
      <c r="A44">
        <v>143</v>
      </c>
      <c r="B44">
        <v>52</v>
      </c>
      <c r="C44" t="s">
        <v>11</v>
      </c>
      <c r="D44" t="s">
        <v>23</v>
      </c>
      <c r="E44" t="s">
        <v>24</v>
      </c>
      <c r="F44" t="s">
        <v>25</v>
      </c>
      <c r="G44" t="s">
        <v>15</v>
      </c>
      <c r="H44" t="s">
        <v>33</v>
      </c>
      <c r="I44" s="1">
        <v>45391</v>
      </c>
      <c r="J44" s="1">
        <v>45391</v>
      </c>
      <c r="K44">
        <v>3400</v>
      </c>
      <c r="L44" t="str">
        <f t="shared" si="0"/>
        <v>Apr</v>
      </c>
      <c r="M44">
        <f>Table1[[#This Row],[Discharge_Date]]-Table1[[#This Row],[Admission_Date]]</f>
        <v>0</v>
      </c>
    </row>
    <row r="45" spans="1:13" x14ac:dyDescent="0.3">
      <c r="A45">
        <v>144</v>
      </c>
      <c r="B45">
        <v>31</v>
      </c>
      <c r="C45" t="s">
        <v>17</v>
      </c>
      <c r="D45" t="s">
        <v>28</v>
      </c>
      <c r="E45" t="s">
        <v>30</v>
      </c>
      <c r="F45" t="s">
        <v>31</v>
      </c>
      <c r="G45" t="s">
        <v>15</v>
      </c>
      <c r="H45" t="s">
        <v>32</v>
      </c>
      <c r="I45" s="1">
        <v>45392</v>
      </c>
      <c r="J45" s="1">
        <v>45392</v>
      </c>
      <c r="K45">
        <v>1500</v>
      </c>
      <c r="L45" t="str">
        <f t="shared" si="0"/>
        <v>Apr</v>
      </c>
      <c r="M45">
        <f>Table1[[#This Row],[Discharge_Date]]-Table1[[#This Row],[Admission_Date]]</f>
        <v>0</v>
      </c>
    </row>
    <row r="46" spans="1:13" x14ac:dyDescent="0.3">
      <c r="A46">
        <v>145</v>
      </c>
      <c r="B46">
        <v>58</v>
      </c>
      <c r="C46" t="s">
        <v>11</v>
      </c>
      <c r="D46" t="s">
        <v>12</v>
      </c>
      <c r="E46" t="s">
        <v>13</v>
      </c>
      <c r="F46" t="s">
        <v>14</v>
      </c>
      <c r="G46" t="s">
        <v>21</v>
      </c>
      <c r="H46" t="s">
        <v>27</v>
      </c>
      <c r="I46" s="1">
        <v>45394</v>
      </c>
      <c r="J46" s="1">
        <v>45400</v>
      </c>
      <c r="K46">
        <v>14000</v>
      </c>
      <c r="L46" t="str">
        <f t="shared" si="0"/>
        <v>Apr</v>
      </c>
      <c r="M46">
        <f>Table1[[#This Row],[Discharge_Date]]-Table1[[#This Row],[Admission_Date]]</f>
        <v>6</v>
      </c>
    </row>
    <row r="47" spans="1:13" x14ac:dyDescent="0.3">
      <c r="A47">
        <v>146</v>
      </c>
      <c r="B47">
        <v>40</v>
      </c>
      <c r="C47" t="s">
        <v>17</v>
      </c>
      <c r="D47" t="s">
        <v>18</v>
      </c>
      <c r="E47" t="s">
        <v>19</v>
      </c>
      <c r="F47" t="s">
        <v>20</v>
      </c>
      <c r="G47" t="s">
        <v>15</v>
      </c>
      <c r="H47" t="s">
        <v>22</v>
      </c>
      <c r="I47" s="1">
        <v>45395</v>
      </c>
      <c r="J47" s="1">
        <v>45395</v>
      </c>
      <c r="K47">
        <v>3600</v>
      </c>
      <c r="L47" t="str">
        <f t="shared" si="0"/>
        <v>Apr</v>
      </c>
      <c r="M47">
        <f>Table1[[#This Row],[Discharge_Date]]-Table1[[#This Row],[Admission_Date]]</f>
        <v>0</v>
      </c>
    </row>
    <row r="48" spans="1:13" x14ac:dyDescent="0.3">
      <c r="A48">
        <v>147</v>
      </c>
      <c r="B48">
        <v>49</v>
      </c>
      <c r="C48" t="s">
        <v>11</v>
      </c>
      <c r="D48" t="s">
        <v>23</v>
      </c>
      <c r="E48" t="s">
        <v>24</v>
      </c>
      <c r="F48" t="s">
        <v>25</v>
      </c>
      <c r="G48" t="s">
        <v>21</v>
      </c>
      <c r="H48" t="s">
        <v>26</v>
      </c>
      <c r="I48" s="1">
        <v>45396</v>
      </c>
      <c r="J48" s="1">
        <v>45402</v>
      </c>
      <c r="K48">
        <v>9800</v>
      </c>
      <c r="L48" t="str">
        <f t="shared" si="0"/>
        <v>Apr</v>
      </c>
      <c r="M48">
        <f>Table1[[#This Row],[Discharge_Date]]-Table1[[#This Row],[Admission_Date]]</f>
        <v>6</v>
      </c>
    </row>
    <row r="49" spans="1:13" x14ac:dyDescent="0.3">
      <c r="A49">
        <v>148</v>
      </c>
      <c r="B49">
        <v>28</v>
      </c>
      <c r="C49" t="s">
        <v>17</v>
      </c>
      <c r="D49" t="s">
        <v>12</v>
      </c>
      <c r="E49" t="s">
        <v>30</v>
      </c>
      <c r="F49" t="s">
        <v>31</v>
      </c>
      <c r="G49" t="s">
        <v>15</v>
      </c>
      <c r="H49" t="s">
        <v>34</v>
      </c>
      <c r="I49" s="1">
        <v>45397</v>
      </c>
      <c r="J49" s="1">
        <v>45397</v>
      </c>
      <c r="K49">
        <v>1700</v>
      </c>
      <c r="L49" t="str">
        <f t="shared" si="0"/>
        <v>Apr</v>
      </c>
      <c r="M49">
        <f>Table1[[#This Row],[Discharge_Date]]-Table1[[#This Row],[Admission_Date]]</f>
        <v>0</v>
      </c>
    </row>
    <row r="50" spans="1:13" x14ac:dyDescent="0.3">
      <c r="A50">
        <v>149</v>
      </c>
      <c r="B50">
        <v>54</v>
      </c>
      <c r="C50" t="s">
        <v>11</v>
      </c>
      <c r="D50" t="s">
        <v>28</v>
      </c>
      <c r="E50" t="s">
        <v>13</v>
      </c>
      <c r="F50" t="s">
        <v>14</v>
      </c>
      <c r="G50" t="s">
        <v>15</v>
      </c>
      <c r="H50" t="s">
        <v>35</v>
      </c>
      <c r="I50" s="1">
        <v>45398</v>
      </c>
      <c r="J50" s="1">
        <v>45398</v>
      </c>
      <c r="K50">
        <v>2800</v>
      </c>
      <c r="L50" t="str">
        <f t="shared" si="0"/>
        <v>Apr</v>
      </c>
      <c r="M50">
        <f>Table1[[#This Row],[Discharge_Date]]-Table1[[#This Row],[Admission_Date]]</f>
        <v>0</v>
      </c>
    </row>
    <row r="51" spans="1:13" x14ac:dyDescent="0.3">
      <c r="A51">
        <v>150</v>
      </c>
      <c r="B51">
        <v>33</v>
      </c>
      <c r="C51" t="s">
        <v>17</v>
      </c>
      <c r="D51" t="s">
        <v>18</v>
      </c>
      <c r="E51" t="s">
        <v>19</v>
      </c>
      <c r="F51" t="s">
        <v>20</v>
      </c>
      <c r="G51" t="s">
        <v>21</v>
      </c>
      <c r="H51" t="s">
        <v>36</v>
      </c>
      <c r="I51" s="1">
        <v>45400</v>
      </c>
      <c r="J51" s="1">
        <v>45405</v>
      </c>
      <c r="K51">
        <v>10500</v>
      </c>
      <c r="L51" t="str">
        <f t="shared" si="0"/>
        <v>Apr</v>
      </c>
      <c r="M51">
        <f>Table1[[#This Row],[Discharge_Date]]-Table1[[#This Row],[Admission_Date]]</f>
        <v>5</v>
      </c>
    </row>
    <row r="52" spans="1:13" x14ac:dyDescent="0.3">
      <c r="A52">
        <v>151</v>
      </c>
      <c r="B52">
        <v>61</v>
      </c>
      <c r="C52" t="s">
        <v>11</v>
      </c>
      <c r="D52" t="s">
        <v>12</v>
      </c>
      <c r="E52" t="s">
        <v>13</v>
      </c>
      <c r="F52" t="s">
        <v>14</v>
      </c>
      <c r="G52" t="s">
        <v>21</v>
      </c>
      <c r="H52" t="s">
        <v>37</v>
      </c>
      <c r="I52" s="1">
        <v>45402</v>
      </c>
      <c r="J52" s="1">
        <v>45409</v>
      </c>
      <c r="K52">
        <v>15500</v>
      </c>
      <c r="L52" t="str">
        <f t="shared" si="0"/>
        <v>Apr</v>
      </c>
      <c r="M52">
        <f>Table1[[#This Row],[Discharge_Date]]-Table1[[#This Row],[Admission_Date]]</f>
        <v>7</v>
      </c>
    </row>
    <row r="53" spans="1:13" x14ac:dyDescent="0.3">
      <c r="A53">
        <v>152</v>
      </c>
      <c r="B53">
        <v>35</v>
      </c>
      <c r="C53" t="s">
        <v>17</v>
      </c>
      <c r="D53" t="s">
        <v>23</v>
      </c>
      <c r="E53" t="s">
        <v>30</v>
      </c>
      <c r="F53" t="s">
        <v>31</v>
      </c>
      <c r="G53" t="s">
        <v>15</v>
      </c>
      <c r="H53" t="s">
        <v>38</v>
      </c>
      <c r="I53" s="1">
        <v>45403</v>
      </c>
      <c r="J53" s="1">
        <v>45403</v>
      </c>
      <c r="K53">
        <v>1300</v>
      </c>
      <c r="L53" t="str">
        <f t="shared" si="0"/>
        <v>Apr</v>
      </c>
      <c r="M53">
        <f>Table1[[#This Row],[Discharge_Date]]-Table1[[#This Row],[Admission_Date]]</f>
        <v>0</v>
      </c>
    </row>
    <row r="54" spans="1:13" x14ac:dyDescent="0.3">
      <c r="A54">
        <v>153</v>
      </c>
      <c r="B54">
        <v>43</v>
      </c>
      <c r="C54" t="s">
        <v>11</v>
      </c>
      <c r="D54" t="s">
        <v>18</v>
      </c>
      <c r="E54" t="s">
        <v>24</v>
      </c>
      <c r="F54" t="s">
        <v>25</v>
      </c>
      <c r="G54" t="s">
        <v>15</v>
      </c>
      <c r="H54" t="s">
        <v>39</v>
      </c>
      <c r="I54" s="1">
        <v>45404</v>
      </c>
      <c r="J54" s="1">
        <v>45404</v>
      </c>
      <c r="K54">
        <v>3100</v>
      </c>
      <c r="L54" t="str">
        <f t="shared" si="0"/>
        <v>Apr</v>
      </c>
      <c r="M54">
        <f>Table1[[#This Row],[Discharge_Date]]-Table1[[#This Row],[Admission_Date]]</f>
        <v>0</v>
      </c>
    </row>
    <row r="55" spans="1:13" x14ac:dyDescent="0.3">
      <c r="A55">
        <v>154</v>
      </c>
      <c r="B55">
        <v>27</v>
      </c>
      <c r="C55" t="s">
        <v>17</v>
      </c>
      <c r="D55" t="s">
        <v>28</v>
      </c>
      <c r="E55" t="s">
        <v>13</v>
      </c>
      <c r="F55" t="s">
        <v>14</v>
      </c>
      <c r="G55" t="s">
        <v>15</v>
      </c>
      <c r="H55" t="s">
        <v>40</v>
      </c>
      <c r="I55" s="1">
        <v>45405</v>
      </c>
      <c r="J55" s="1">
        <v>45405</v>
      </c>
      <c r="K55">
        <v>2900</v>
      </c>
      <c r="L55" t="str">
        <f t="shared" si="0"/>
        <v>Apr</v>
      </c>
      <c r="M55">
        <f>Table1[[#This Row],[Discharge_Date]]-Table1[[#This Row],[Admission_Date]]</f>
        <v>0</v>
      </c>
    </row>
    <row r="56" spans="1:13" x14ac:dyDescent="0.3">
      <c r="A56">
        <v>155</v>
      </c>
      <c r="B56">
        <v>62</v>
      </c>
      <c r="C56" t="s">
        <v>11</v>
      </c>
      <c r="D56" t="s">
        <v>12</v>
      </c>
      <c r="E56" t="s">
        <v>19</v>
      </c>
      <c r="F56" t="s">
        <v>20</v>
      </c>
      <c r="G56" t="s">
        <v>21</v>
      </c>
      <c r="H56" t="s">
        <v>41</v>
      </c>
      <c r="I56" s="1">
        <v>45406</v>
      </c>
      <c r="J56" s="1">
        <v>45413</v>
      </c>
      <c r="K56">
        <v>15000</v>
      </c>
      <c r="L56" t="str">
        <f t="shared" si="0"/>
        <v>Apr</v>
      </c>
      <c r="M56">
        <f>Table1[[#This Row],[Discharge_Date]]-Table1[[#This Row],[Admission_Date]]</f>
        <v>7</v>
      </c>
    </row>
    <row r="57" spans="1:13" x14ac:dyDescent="0.3">
      <c r="A57">
        <v>156</v>
      </c>
      <c r="B57">
        <v>39</v>
      </c>
      <c r="C57" t="s">
        <v>17</v>
      </c>
      <c r="D57" t="s">
        <v>18</v>
      </c>
      <c r="E57" t="s">
        <v>13</v>
      </c>
      <c r="F57" t="s">
        <v>14</v>
      </c>
      <c r="G57" t="s">
        <v>15</v>
      </c>
      <c r="H57" t="s">
        <v>16</v>
      </c>
      <c r="I57" s="1">
        <v>45407</v>
      </c>
      <c r="J57" s="1">
        <v>45407</v>
      </c>
      <c r="K57">
        <v>2400</v>
      </c>
      <c r="L57" t="str">
        <f t="shared" si="0"/>
        <v>Apr</v>
      </c>
      <c r="M57">
        <f>Table1[[#This Row],[Discharge_Date]]-Table1[[#This Row],[Admission_Date]]</f>
        <v>0</v>
      </c>
    </row>
    <row r="58" spans="1:13" x14ac:dyDescent="0.3">
      <c r="A58">
        <v>157</v>
      </c>
      <c r="B58">
        <v>48</v>
      </c>
      <c r="C58" t="s">
        <v>11</v>
      </c>
      <c r="D58" t="s">
        <v>23</v>
      </c>
      <c r="E58" t="s">
        <v>24</v>
      </c>
      <c r="F58" t="s">
        <v>25</v>
      </c>
      <c r="G58" t="s">
        <v>21</v>
      </c>
      <c r="H58" t="s">
        <v>26</v>
      </c>
      <c r="I58" s="1">
        <v>45408</v>
      </c>
      <c r="J58" s="1">
        <v>45414</v>
      </c>
      <c r="K58">
        <v>10200</v>
      </c>
      <c r="L58" t="str">
        <f t="shared" si="0"/>
        <v>Apr</v>
      </c>
      <c r="M58">
        <f>Table1[[#This Row],[Discharge_Date]]-Table1[[#This Row],[Admission_Date]]</f>
        <v>6</v>
      </c>
    </row>
    <row r="59" spans="1:13" x14ac:dyDescent="0.3">
      <c r="A59">
        <v>158</v>
      </c>
      <c r="B59">
        <v>30</v>
      </c>
      <c r="C59" t="s">
        <v>17</v>
      </c>
      <c r="D59" t="s">
        <v>12</v>
      </c>
      <c r="E59" t="s">
        <v>30</v>
      </c>
      <c r="F59" t="s">
        <v>31</v>
      </c>
      <c r="G59" t="s">
        <v>15</v>
      </c>
      <c r="H59" t="s">
        <v>34</v>
      </c>
      <c r="I59" s="1">
        <v>45409</v>
      </c>
      <c r="J59" s="1">
        <v>45409</v>
      </c>
      <c r="K59">
        <v>1800</v>
      </c>
      <c r="L59" t="str">
        <f t="shared" si="0"/>
        <v>Apr</v>
      </c>
      <c r="M59">
        <f>Table1[[#This Row],[Discharge_Date]]-Table1[[#This Row],[Admission_Date]]</f>
        <v>0</v>
      </c>
    </row>
    <row r="60" spans="1:13" x14ac:dyDescent="0.3">
      <c r="A60">
        <v>159</v>
      </c>
      <c r="B60">
        <v>53</v>
      </c>
      <c r="C60" t="s">
        <v>11</v>
      </c>
      <c r="D60" t="s">
        <v>28</v>
      </c>
      <c r="E60" t="s">
        <v>19</v>
      </c>
      <c r="F60" t="s">
        <v>20</v>
      </c>
      <c r="G60" t="s">
        <v>21</v>
      </c>
      <c r="H60" t="s">
        <v>29</v>
      </c>
      <c r="I60" s="1">
        <v>45410</v>
      </c>
      <c r="J60" s="1">
        <v>45416</v>
      </c>
      <c r="K60">
        <v>13500</v>
      </c>
      <c r="L60" t="str">
        <f t="shared" si="0"/>
        <v>Apr</v>
      </c>
      <c r="M60">
        <f>Table1[[#This Row],[Discharge_Date]]-Table1[[#This Row],[Admission_Date]]</f>
        <v>6</v>
      </c>
    </row>
    <row r="61" spans="1:13" x14ac:dyDescent="0.3">
      <c r="A61">
        <v>160</v>
      </c>
      <c r="B61">
        <v>34</v>
      </c>
      <c r="C61" t="s">
        <v>17</v>
      </c>
      <c r="D61" t="s">
        <v>18</v>
      </c>
      <c r="E61" t="s">
        <v>13</v>
      </c>
      <c r="F61" t="s">
        <v>14</v>
      </c>
      <c r="G61" t="s">
        <v>15</v>
      </c>
      <c r="H61" t="s">
        <v>35</v>
      </c>
      <c r="I61" s="1">
        <v>45411</v>
      </c>
      <c r="J61" s="1">
        <v>45411</v>
      </c>
      <c r="K61">
        <v>2700</v>
      </c>
      <c r="L61" t="str">
        <f t="shared" si="0"/>
        <v>Apr</v>
      </c>
      <c r="M61">
        <f>Table1[[#This Row],[Discharge_Date]]-Table1[[#This Row],[Admission_Date]]</f>
        <v>0</v>
      </c>
    </row>
    <row r="62" spans="1:13" x14ac:dyDescent="0.3">
      <c r="A62">
        <v>161</v>
      </c>
      <c r="B62">
        <v>45</v>
      </c>
      <c r="C62" t="s">
        <v>11</v>
      </c>
      <c r="D62" t="s">
        <v>12</v>
      </c>
      <c r="E62" t="s">
        <v>24</v>
      </c>
      <c r="F62" t="s">
        <v>25</v>
      </c>
      <c r="G62" t="s">
        <v>15</v>
      </c>
      <c r="H62" t="s">
        <v>33</v>
      </c>
      <c r="I62" s="1">
        <v>45413</v>
      </c>
      <c r="J62" s="1">
        <v>45413</v>
      </c>
      <c r="K62">
        <v>3300</v>
      </c>
      <c r="L62" t="str">
        <f t="shared" si="0"/>
        <v>May</v>
      </c>
      <c r="M62">
        <f>Table1[[#This Row],[Discharge_Date]]-Table1[[#This Row],[Admission_Date]]</f>
        <v>0</v>
      </c>
    </row>
    <row r="63" spans="1:13" x14ac:dyDescent="0.3">
      <c r="A63">
        <v>162</v>
      </c>
      <c r="B63">
        <v>29</v>
      </c>
      <c r="C63" t="s">
        <v>17</v>
      </c>
      <c r="D63" t="s">
        <v>18</v>
      </c>
      <c r="E63" t="s">
        <v>30</v>
      </c>
      <c r="F63" t="s">
        <v>31</v>
      </c>
      <c r="G63" t="s">
        <v>15</v>
      </c>
      <c r="H63" t="s">
        <v>32</v>
      </c>
      <c r="I63" s="1">
        <v>45414</v>
      </c>
      <c r="J63" s="1">
        <v>45414</v>
      </c>
      <c r="K63">
        <v>1600</v>
      </c>
      <c r="L63" t="str">
        <f t="shared" si="0"/>
        <v>May</v>
      </c>
      <c r="M63">
        <f>Table1[[#This Row],[Discharge_Date]]-Table1[[#This Row],[Admission_Date]]</f>
        <v>0</v>
      </c>
    </row>
    <row r="64" spans="1:13" x14ac:dyDescent="0.3">
      <c r="A64">
        <v>163</v>
      </c>
      <c r="B64">
        <v>57</v>
      </c>
      <c r="C64" t="s">
        <v>11</v>
      </c>
      <c r="D64" t="s">
        <v>23</v>
      </c>
      <c r="E64" t="s">
        <v>19</v>
      </c>
      <c r="F64" t="s">
        <v>20</v>
      </c>
      <c r="G64" t="s">
        <v>21</v>
      </c>
      <c r="H64" t="s">
        <v>29</v>
      </c>
      <c r="I64" s="1">
        <v>45415</v>
      </c>
      <c r="J64" s="1">
        <v>45421</v>
      </c>
      <c r="K64">
        <v>14500</v>
      </c>
      <c r="L64" t="str">
        <f t="shared" si="0"/>
        <v>May</v>
      </c>
      <c r="M64">
        <f>Table1[[#This Row],[Discharge_Date]]-Table1[[#This Row],[Admission_Date]]</f>
        <v>6</v>
      </c>
    </row>
    <row r="65" spans="1:13" x14ac:dyDescent="0.3">
      <c r="A65">
        <v>164</v>
      </c>
      <c r="B65">
        <v>36</v>
      </c>
      <c r="C65" t="s">
        <v>17</v>
      </c>
      <c r="D65" t="s">
        <v>28</v>
      </c>
      <c r="E65" t="s">
        <v>13</v>
      </c>
      <c r="F65" t="s">
        <v>14</v>
      </c>
      <c r="G65" t="s">
        <v>15</v>
      </c>
      <c r="H65" t="s">
        <v>16</v>
      </c>
      <c r="I65" s="1">
        <v>45416</v>
      </c>
      <c r="J65" s="1">
        <v>45416</v>
      </c>
      <c r="K65">
        <v>2500</v>
      </c>
      <c r="L65" t="str">
        <f t="shared" si="0"/>
        <v>May</v>
      </c>
      <c r="M65">
        <f>Table1[[#This Row],[Discharge_Date]]-Table1[[#This Row],[Admission_Date]]</f>
        <v>0</v>
      </c>
    </row>
    <row r="66" spans="1:13" x14ac:dyDescent="0.3">
      <c r="A66">
        <v>165</v>
      </c>
      <c r="B66">
        <v>47</v>
      </c>
      <c r="C66" t="s">
        <v>11</v>
      </c>
      <c r="D66" t="s">
        <v>12</v>
      </c>
      <c r="E66" t="s">
        <v>24</v>
      </c>
      <c r="F66" t="s">
        <v>25</v>
      </c>
      <c r="G66" t="s">
        <v>21</v>
      </c>
      <c r="H66" t="s">
        <v>26</v>
      </c>
      <c r="I66" s="1">
        <v>45417</v>
      </c>
      <c r="J66" s="1">
        <v>45423</v>
      </c>
      <c r="K66">
        <v>10000</v>
      </c>
      <c r="L66" t="str">
        <f t="shared" ref="L66:L129" si="1">TEXT(I66,"mmm")</f>
        <v>May</v>
      </c>
      <c r="M66">
        <f>Table1[[#This Row],[Discharge_Date]]-Table1[[#This Row],[Admission_Date]]</f>
        <v>6</v>
      </c>
    </row>
    <row r="67" spans="1:13" x14ac:dyDescent="0.3">
      <c r="A67">
        <v>166</v>
      </c>
      <c r="B67">
        <v>31</v>
      </c>
      <c r="C67" t="s">
        <v>17</v>
      </c>
      <c r="D67" t="s">
        <v>18</v>
      </c>
      <c r="E67" t="s">
        <v>13</v>
      </c>
      <c r="F67" t="s">
        <v>14</v>
      </c>
      <c r="G67" t="s">
        <v>15</v>
      </c>
      <c r="H67" t="s">
        <v>35</v>
      </c>
      <c r="I67" s="1">
        <v>45418</v>
      </c>
      <c r="J67" s="1">
        <v>45418</v>
      </c>
      <c r="K67">
        <v>2800</v>
      </c>
      <c r="L67" t="str">
        <f t="shared" si="1"/>
        <v>May</v>
      </c>
      <c r="M67">
        <f>Table1[[#This Row],[Discharge_Date]]-Table1[[#This Row],[Admission_Date]]</f>
        <v>0</v>
      </c>
    </row>
    <row r="68" spans="1:13" x14ac:dyDescent="0.3">
      <c r="A68">
        <v>167</v>
      </c>
      <c r="B68">
        <v>42</v>
      </c>
      <c r="C68" t="s">
        <v>11</v>
      </c>
      <c r="D68" t="s">
        <v>23</v>
      </c>
      <c r="E68" t="s">
        <v>19</v>
      </c>
      <c r="F68" t="s">
        <v>20</v>
      </c>
      <c r="G68" t="s">
        <v>15</v>
      </c>
      <c r="H68" t="s">
        <v>22</v>
      </c>
      <c r="I68" s="1">
        <v>45419</v>
      </c>
      <c r="J68" s="1">
        <v>45419</v>
      </c>
      <c r="K68">
        <v>3600</v>
      </c>
      <c r="L68" t="str">
        <f t="shared" si="1"/>
        <v>May</v>
      </c>
      <c r="M68">
        <f>Table1[[#This Row],[Discharge_Date]]-Table1[[#This Row],[Admission_Date]]</f>
        <v>0</v>
      </c>
    </row>
    <row r="69" spans="1:13" x14ac:dyDescent="0.3">
      <c r="A69">
        <v>168</v>
      </c>
      <c r="B69">
        <v>28</v>
      </c>
      <c r="C69" t="s">
        <v>17</v>
      </c>
      <c r="D69" t="s">
        <v>12</v>
      </c>
      <c r="E69" t="s">
        <v>30</v>
      </c>
      <c r="F69" t="s">
        <v>31</v>
      </c>
      <c r="G69" t="s">
        <v>15</v>
      </c>
      <c r="H69" t="s">
        <v>34</v>
      </c>
      <c r="I69" s="1">
        <v>45420</v>
      </c>
      <c r="J69" s="1">
        <v>45420</v>
      </c>
      <c r="K69">
        <v>1700</v>
      </c>
      <c r="L69" t="str">
        <f t="shared" si="1"/>
        <v>May</v>
      </c>
      <c r="M69">
        <f>Table1[[#This Row],[Discharge_Date]]-Table1[[#This Row],[Admission_Date]]</f>
        <v>0</v>
      </c>
    </row>
    <row r="70" spans="1:13" x14ac:dyDescent="0.3">
      <c r="A70">
        <v>169</v>
      </c>
      <c r="B70">
        <v>55</v>
      </c>
      <c r="C70" t="s">
        <v>11</v>
      </c>
      <c r="D70" t="s">
        <v>28</v>
      </c>
      <c r="E70" t="s">
        <v>13</v>
      </c>
      <c r="F70" t="s">
        <v>14</v>
      </c>
      <c r="G70" t="s">
        <v>21</v>
      </c>
      <c r="H70" t="s">
        <v>27</v>
      </c>
      <c r="I70" s="1">
        <v>45421</v>
      </c>
      <c r="J70" s="1">
        <v>45427</v>
      </c>
      <c r="K70">
        <v>14000</v>
      </c>
      <c r="L70" t="str">
        <f t="shared" si="1"/>
        <v>May</v>
      </c>
      <c r="M70">
        <f>Table1[[#This Row],[Discharge_Date]]-Table1[[#This Row],[Admission_Date]]</f>
        <v>6</v>
      </c>
    </row>
    <row r="71" spans="1:13" x14ac:dyDescent="0.3">
      <c r="A71">
        <v>170</v>
      </c>
      <c r="B71">
        <v>38</v>
      </c>
      <c r="C71" t="s">
        <v>17</v>
      </c>
      <c r="D71" t="s">
        <v>18</v>
      </c>
      <c r="E71" t="s">
        <v>24</v>
      </c>
      <c r="F71" t="s">
        <v>25</v>
      </c>
      <c r="G71" t="s">
        <v>15</v>
      </c>
      <c r="H71" t="s">
        <v>39</v>
      </c>
      <c r="I71" s="1">
        <v>45422</v>
      </c>
      <c r="J71" s="1">
        <v>45422</v>
      </c>
      <c r="K71">
        <v>3200</v>
      </c>
      <c r="L71" t="str">
        <f t="shared" si="1"/>
        <v>May</v>
      </c>
      <c r="M71">
        <f>Table1[[#This Row],[Discharge_Date]]-Table1[[#This Row],[Admission_Date]]</f>
        <v>0</v>
      </c>
    </row>
    <row r="72" spans="1:13" x14ac:dyDescent="0.3">
      <c r="A72">
        <v>171</v>
      </c>
      <c r="B72">
        <v>50</v>
      </c>
      <c r="C72" t="s">
        <v>11</v>
      </c>
      <c r="D72" t="s">
        <v>12</v>
      </c>
      <c r="E72" t="s">
        <v>19</v>
      </c>
      <c r="F72" t="s">
        <v>20</v>
      </c>
      <c r="G72" t="s">
        <v>21</v>
      </c>
      <c r="H72" t="s">
        <v>36</v>
      </c>
      <c r="I72" s="1">
        <v>45423</v>
      </c>
      <c r="J72" s="1">
        <v>45429</v>
      </c>
      <c r="K72">
        <v>12500</v>
      </c>
      <c r="L72" t="str">
        <f t="shared" si="1"/>
        <v>May</v>
      </c>
      <c r="M72">
        <f>Table1[[#This Row],[Discharge_Date]]-Table1[[#This Row],[Admission_Date]]</f>
        <v>6</v>
      </c>
    </row>
    <row r="73" spans="1:13" x14ac:dyDescent="0.3">
      <c r="A73">
        <v>172</v>
      </c>
      <c r="B73">
        <v>33</v>
      </c>
      <c r="C73" t="s">
        <v>17</v>
      </c>
      <c r="D73" t="s">
        <v>23</v>
      </c>
      <c r="E73" t="s">
        <v>13</v>
      </c>
      <c r="F73" t="s">
        <v>14</v>
      </c>
      <c r="G73" t="s">
        <v>15</v>
      </c>
      <c r="H73" t="s">
        <v>40</v>
      </c>
      <c r="I73" s="1">
        <v>45424</v>
      </c>
      <c r="J73" s="1">
        <v>45424</v>
      </c>
      <c r="K73">
        <v>3000</v>
      </c>
      <c r="L73" t="str">
        <f t="shared" si="1"/>
        <v>May</v>
      </c>
      <c r="M73">
        <f>Table1[[#This Row],[Discharge_Date]]-Table1[[#This Row],[Admission_Date]]</f>
        <v>0</v>
      </c>
    </row>
    <row r="74" spans="1:13" x14ac:dyDescent="0.3">
      <c r="A74">
        <v>173</v>
      </c>
      <c r="B74">
        <v>58</v>
      </c>
      <c r="C74" t="s">
        <v>11</v>
      </c>
      <c r="D74" t="s">
        <v>28</v>
      </c>
      <c r="E74" t="s">
        <v>24</v>
      </c>
      <c r="F74" t="s">
        <v>25</v>
      </c>
      <c r="G74" t="s">
        <v>21</v>
      </c>
      <c r="H74" t="s">
        <v>33</v>
      </c>
      <c r="I74" s="1">
        <v>45425</v>
      </c>
      <c r="J74" s="1">
        <v>45431</v>
      </c>
      <c r="K74">
        <v>10500</v>
      </c>
      <c r="L74" t="str">
        <f t="shared" si="1"/>
        <v>May</v>
      </c>
      <c r="M74">
        <f>Table1[[#This Row],[Discharge_Date]]-Table1[[#This Row],[Admission_Date]]</f>
        <v>6</v>
      </c>
    </row>
    <row r="75" spans="1:13" x14ac:dyDescent="0.3">
      <c r="A75">
        <v>174</v>
      </c>
      <c r="B75">
        <v>27</v>
      </c>
      <c r="C75" t="s">
        <v>17</v>
      </c>
      <c r="D75" t="s">
        <v>12</v>
      </c>
      <c r="E75" t="s">
        <v>30</v>
      </c>
      <c r="F75" t="s">
        <v>31</v>
      </c>
      <c r="G75" t="s">
        <v>15</v>
      </c>
      <c r="H75" t="s">
        <v>38</v>
      </c>
      <c r="I75" s="1">
        <v>45426</v>
      </c>
      <c r="J75" s="1">
        <v>45426</v>
      </c>
      <c r="K75">
        <v>1500</v>
      </c>
      <c r="L75" t="str">
        <f t="shared" si="1"/>
        <v>May</v>
      </c>
      <c r="M75">
        <f>Table1[[#This Row],[Discharge_Date]]-Table1[[#This Row],[Admission_Date]]</f>
        <v>0</v>
      </c>
    </row>
    <row r="76" spans="1:13" x14ac:dyDescent="0.3">
      <c r="A76">
        <v>175</v>
      </c>
      <c r="B76">
        <v>46</v>
      </c>
      <c r="C76" t="s">
        <v>11</v>
      </c>
      <c r="D76" t="s">
        <v>18</v>
      </c>
      <c r="E76" t="s">
        <v>13</v>
      </c>
      <c r="F76" t="s">
        <v>14</v>
      </c>
      <c r="G76" t="s">
        <v>15</v>
      </c>
      <c r="H76" t="s">
        <v>16</v>
      </c>
      <c r="I76" s="1">
        <v>45427</v>
      </c>
      <c r="J76" s="1">
        <v>45427</v>
      </c>
      <c r="K76">
        <v>2600</v>
      </c>
      <c r="L76" t="str">
        <f t="shared" si="1"/>
        <v>May</v>
      </c>
      <c r="M76">
        <f>Table1[[#This Row],[Discharge_Date]]-Table1[[#This Row],[Admission_Date]]</f>
        <v>0</v>
      </c>
    </row>
    <row r="77" spans="1:13" x14ac:dyDescent="0.3">
      <c r="A77">
        <v>176</v>
      </c>
      <c r="B77">
        <v>39</v>
      </c>
      <c r="C77" t="s">
        <v>17</v>
      </c>
      <c r="D77" t="s">
        <v>23</v>
      </c>
      <c r="E77" t="s">
        <v>19</v>
      </c>
      <c r="F77" t="s">
        <v>20</v>
      </c>
      <c r="G77" t="s">
        <v>21</v>
      </c>
      <c r="H77" t="s">
        <v>22</v>
      </c>
      <c r="I77" s="1">
        <v>45428</v>
      </c>
      <c r="J77" s="1">
        <v>45433</v>
      </c>
      <c r="K77">
        <v>9200</v>
      </c>
      <c r="L77" t="str">
        <f t="shared" si="1"/>
        <v>May</v>
      </c>
      <c r="M77">
        <f>Table1[[#This Row],[Discharge_Date]]-Table1[[#This Row],[Admission_Date]]</f>
        <v>5</v>
      </c>
    </row>
    <row r="78" spans="1:13" x14ac:dyDescent="0.3">
      <c r="A78">
        <v>177</v>
      </c>
      <c r="B78">
        <v>52</v>
      </c>
      <c r="C78" t="s">
        <v>11</v>
      </c>
      <c r="D78" t="s">
        <v>12</v>
      </c>
      <c r="E78" t="s">
        <v>24</v>
      </c>
      <c r="F78" t="s">
        <v>25</v>
      </c>
      <c r="G78" t="s">
        <v>15</v>
      </c>
      <c r="H78" t="s">
        <v>39</v>
      </c>
      <c r="I78" s="1">
        <v>45429</v>
      </c>
      <c r="J78" s="1">
        <v>45429</v>
      </c>
      <c r="K78">
        <v>3400</v>
      </c>
      <c r="L78" t="str">
        <f t="shared" si="1"/>
        <v>May</v>
      </c>
      <c r="M78">
        <f>Table1[[#This Row],[Discharge_Date]]-Table1[[#This Row],[Admission_Date]]</f>
        <v>0</v>
      </c>
    </row>
    <row r="79" spans="1:13" x14ac:dyDescent="0.3">
      <c r="A79">
        <v>178</v>
      </c>
      <c r="B79">
        <v>35</v>
      </c>
      <c r="C79" t="s">
        <v>17</v>
      </c>
      <c r="D79" t="s">
        <v>28</v>
      </c>
      <c r="E79" t="s">
        <v>13</v>
      </c>
      <c r="F79" t="s">
        <v>14</v>
      </c>
      <c r="G79" t="s">
        <v>15</v>
      </c>
      <c r="H79" t="s">
        <v>35</v>
      </c>
      <c r="I79" s="1">
        <v>45430</v>
      </c>
      <c r="J79" s="1">
        <v>45430</v>
      </c>
      <c r="K79">
        <v>2800</v>
      </c>
      <c r="L79" t="str">
        <f t="shared" si="1"/>
        <v>May</v>
      </c>
      <c r="M79">
        <f>Table1[[#This Row],[Discharge_Date]]-Table1[[#This Row],[Admission_Date]]</f>
        <v>0</v>
      </c>
    </row>
    <row r="80" spans="1:13" x14ac:dyDescent="0.3">
      <c r="A80">
        <v>179</v>
      </c>
      <c r="B80">
        <v>60</v>
      </c>
      <c r="C80" t="s">
        <v>11</v>
      </c>
      <c r="D80" t="s">
        <v>18</v>
      </c>
      <c r="E80" t="s">
        <v>19</v>
      </c>
      <c r="F80" t="s">
        <v>20</v>
      </c>
      <c r="G80" t="s">
        <v>21</v>
      </c>
      <c r="H80" t="s">
        <v>41</v>
      </c>
      <c r="I80" s="1">
        <v>45431</v>
      </c>
      <c r="J80" s="1">
        <v>45438</v>
      </c>
      <c r="K80">
        <v>15000</v>
      </c>
      <c r="L80" t="str">
        <f t="shared" si="1"/>
        <v>May</v>
      </c>
      <c r="M80">
        <f>Table1[[#This Row],[Discharge_Date]]-Table1[[#This Row],[Admission_Date]]</f>
        <v>7</v>
      </c>
    </row>
    <row r="81" spans="1:13" x14ac:dyDescent="0.3">
      <c r="A81">
        <v>180</v>
      </c>
      <c r="B81">
        <v>29</v>
      </c>
      <c r="C81" t="s">
        <v>17</v>
      </c>
      <c r="D81" t="s">
        <v>12</v>
      </c>
      <c r="E81" t="s">
        <v>30</v>
      </c>
      <c r="F81" t="s">
        <v>31</v>
      </c>
      <c r="G81" t="s">
        <v>15</v>
      </c>
      <c r="H81" t="s">
        <v>34</v>
      </c>
      <c r="I81" s="1">
        <v>45432</v>
      </c>
      <c r="J81" s="1">
        <v>45432</v>
      </c>
      <c r="K81">
        <v>1700</v>
      </c>
      <c r="L81" t="str">
        <f t="shared" si="1"/>
        <v>May</v>
      </c>
      <c r="M81">
        <f>Table1[[#This Row],[Discharge_Date]]-Table1[[#This Row],[Admission_Date]]</f>
        <v>0</v>
      </c>
    </row>
    <row r="82" spans="1:13" x14ac:dyDescent="0.3">
      <c r="A82">
        <v>181</v>
      </c>
      <c r="B82">
        <v>48</v>
      </c>
      <c r="C82" t="s">
        <v>11</v>
      </c>
      <c r="D82" t="s">
        <v>12</v>
      </c>
      <c r="E82" t="s">
        <v>13</v>
      </c>
      <c r="F82" t="s">
        <v>14</v>
      </c>
      <c r="G82" t="s">
        <v>15</v>
      </c>
      <c r="H82" t="s">
        <v>16</v>
      </c>
      <c r="I82" s="1">
        <v>45434</v>
      </c>
      <c r="J82" s="1">
        <v>45434</v>
      </c>
      <c r="K82">
        <v>2700</v>
      </c>
      <c r="L82" t="str">
        <f t="shared" si="1"/>
        <v>May</v>
      </c>
      <c r="M82">
        <f>Table1[[#This Row],[Discharge_Date]]-Table1[[#This Row],[Admission_Date]]</f>
        <v>0</v>
      </c>
    </row>
    <row r="83" spans="1:13" x14ac:dyDescent="0.3">
      <c r="A83">
        <v>182</v>
      </c>
      <c r="B83">
        <v>34</v>
      </c>
      <c r="C83" t="s">
        <v>17</v>
      </c>
      <c r="D83" t="s">
        <v>18</v>
      </c>
      <c r="E83" t="s">
        <v>19</v>
      </c>
      <c r="F83" t="s">
        <v>20</v>
      </c>
      <c r="G83" t="s">
        <v>21</v>
      </c>
      <c r="H83" t="s">
        <v>22</v>
      </c>
      <c r="I83" s="1">
        <v>45435</v>
      </c>
      <c r="J83" s="1">
        <v>45440</v>
      </c>
      <c r="K83">
        <v>9500</v>
      </c>
      <c r="L83" t="str">
        <f t="shared" si="1"/>
        <v>May</v>
      </c>
      <c r="M83">
        <f>Table1[[#This Row],[Discharge_Date]]-Table1[[#This Row],[Admission_Date]]</f>
        <v>5</v>
      </c>
    </row>
    <row r="84" spans="1:13" x14ac:dyDescent="0.3">
      <c r="A84">
        <v>183</v>
      </c>
      <c r="B84">
        <v>51</v>
      </c>
      <c r="C84" t="s">
        <v>11</v>
      </c>
      <c r="D84" t="s">
        <v>23</v>
      </c>
      <c r="E84" t="s">
        <v>24</v>
      </c>
      <c r="F84" t="s">
        <v>25</v>
      </c>
      <c r="G84" t="s">
        <v>15</v>
      </c>
      <c r="H84" t="s">
        <v>33</v>
      </c>
      <c r="I84" s="1">
        <v>45436</v>
      </c>
      <c r="J84" s="1">
        <v>45436</v>
      </c>
      <c r="K84">
        <v>3500</v>
      </c>
      <c r="L84" t="str">
        <f t="shared" si="1"/>
        <v>May</v>
      </c>
      <c r="M84">
        <f>Table1[[#This Row],[Discharge_Date]]-Table1[[#This Row],[Admission_Date]]</f>
        <v>0</v>
      </c>
    </row>
    <row r="85" spans="1:13" x14ac:dyDescent="0.3">
      <c r="A85">
        <v>184</v>
      </c>
      <c r="B85">
        <v>29</v>
      </c>
      <c r="C85" t="s">
        <v>17</v>
      </c>
      <c r="D85" t="s">
        <v>28</v>
      </c>
      <c r="E85" t="s">
        <v>30</v>
      </c>
      <c r="F85" t="s">
        <v>31</v>
      </c>
      <c r="G85" t="s">
        <v>15</v>
      </c>
      <c r="H85" t="s">
        <v>32</v>
      </c>
      <c r="I85" s="1">
        <v>45437</v>
      </c>
      <c r="J85" s="1">
        <v>45437</v>
      </c>
      <c r="K85">
        <v>1600</v>
      </c>
      <c r="L85" t="str">
        <f t="shared" si="1"/>
        <v>May</v>
      </c>
      <c r="M85">
        <f>Table1[[#This Row],[Discharge_Date]]-Table1[[#This Row],[Admission_Date]]</f>
        <v>0</v>
      </c>
    </row>
    <row r="86" spans="1:13" x14ac:dyDescent="0.3">
      <c r="A86">
        <v>185</v>
      </c>
      <c r="B86">
        <v>57</v>
      </c>
      <c r="C86" t="s">
        <v>11</v>
      </c>
      <c r="D86" t="s">
        <v>12</v>
      </c>
      <c r="E86" t="s">
        <v>13</v>
      </c>
      <c r="F86" t="s">
        <v>14</v>
      </c>
      <c r="G86" t="s">
        <v>21</v>
      </c>
      <c r="H86" t="s">
        <v>27</v>
      </c>
      <c r="I86" s="1">
        <v>45438</v>
      </c>
      <c r="J86" s="1">
        <v>45444</v>
      </c>
      <c r="K86">
        <v>14500</v>
      </c>
      <c r="L86" t="str">
        <f t="shared" si="1"/>
        <v>May</v>
      </c>
      <c r="M86">
        <f>Table1[[#This Row],[Discharge_Date]]-Table1[[#This Row],[Admission_Date]]</f>
        <v>6</v>
      </c>
    </row>
    <row r="87" spans="1:13" x14ac:dyDescent="0.3">
      <c r="A87">
        <v>186</v>
      </c>
      <c r="B87">
        <v>41</v>
      </c>
      <c r="C87" t="s">
        <v>17</v>
      </c>
      <c r="D87" t="s">
        <v>18</v>
      </c>
      <c r="E87" t="s">
        <v>19</v>
      </c>
      <c r="F87" t="s">
        <v>20</v>
      </c>
      <c r="G87" t="s">
        <v>15</v>
      </c>
      <c r="H87" t="s">
        <v>22</v>
      </c>
      <c r="I87" s="1">
        <v>45439</v>
      </c>
      <c r="J87" s="1">
        <v>45439</v>
      </c>
      <c r="K87">
        <v>3700</v>
      </c>
      <c r="L87" t="str">
        <f t="shared" si="1"/>
        <v>May</v>
      </c>
      <c r="M87">
        <f>Table1[[#This Row],[Discharge_Date]]-Table1[[#This Row],[Admission_Date]]</f>
        <v>0</v>
      </c>
    </row>
    <row r="88" spans="1:13" x14ac:dyDescent="0.3">
      <c r="A88">
        <v>187</v>
      </c>
      <c r="B88">
        <v>46</v>
      </c>
      <c r="C88" t="s">
        <v>11</v>
      </c>
      <c r="D88" t="s">
        <v>23</v>
      </c>
      <c r="E88" t="s">
        <v>24</v>
      </c>
      <c r="F88" t="s">
        <v>25</v>
      </c>
      <c r="G88" t="s">
        <v>21</v>
      </c>
      <c r="H88" t="s">
        <v>26</v>
      </c>
      <c r="I88" s="1">
        <v>45440</v>
      </c>
      <c r="J88" s="1">
        <v>45446</v>
      </c>
      <c r="K88">
        <v>10000</v>
      </c>
      <c r="L88" t="str">
        <f t="shared" si="1"/>
        <v>May</v>
      </c>
      <c r="M88">
        <f>Table1[[#This Row],[Discharge_Date]]-Table1[[#This Row],[Admission_Date]]</f>
        <v>6</v>
      </c>
    </row>
    <row r="89" spans="1:13" x14ac:dyDescent="0.3">
      <c r="A89">
        <v>188</v>
      </c>
      <c r="B89">
        <v>28</v>
      </c>
      <c r="C89" t="s">
        <v>17</v>
      </c>
      <c r="D89" t="s">
        <v>12</v>
      </c>
      <c r="E89" t="s">
        <v>30</v>
      </c>
      <c r="F89" t="s">
        <v>31</v>
      </c>
      <c r="G89" t="s">
        <v>15</v>
      </c>
      <c r="H89" t="s">
        <v>34</v>
      </c>
      <c r="I89" s="1">
        <v>45441</v>
      </c>
      <c r="J89" s="1">
        <v>45441</v>
      </c>
      <c r="K89">
        <v>1800</v>
      </c>
      <c r="L89" t="str">
        <f t="shared" si="1"/>
        <v>May</v>
      </c>
      <c r="M89">
        <f>Table1[[#This Row],[Discharge_Date]]-Table1[[#This Row],[Admission_Date]]</f>
        <v>0</v>
      </c>
    </row>
    <row r="90" spans="1:13" x14ac:dyDescent="0.3">
      <c r="A90">
        <v>189</v>
      </c>
      <c r="B90">
        <v>55</v>
      </c>
      <c r="C90" t="s">
        <v>11</v>
      </c>
      <c r="D90" t="s">
        <v>28</v>
      </c>
      <c r="E90" t="s">
        <v>13</v>
      </c>
      <c r="F90" t="s">
        <v>14</v>
      </c>
      <c r="G90" t="s">
        <v>15</v>
      </c>
      <c r="H90" t="s">
        <v>35</v>
      </c>
      <c r="I90" s="1">
        <v>45442</v>
      </c>
      <c r="J90" s="1">
        <v>45442</v>
      </c>
      <c r="K90">
        <v>2900</v>
      </c>
      <c r="L90" t="str">
        <f t="shared" si="1"/>
        <v>May</v>
      </c>
      <c r="M90">
        <f>Table1[[#This Row],[Discharge_Date]]-Table1[[#This Row],[Admission_Date]]</f>
        <v>0</v>
      </c>
    </row>
    <row r="91" spans="1:13" x14ac:dyDescent="0.3">
      <c r="A91">
        <v>190</v>
      </c>
      <c r="B91">
        <v>32</v>
      </c>
      <c r="C91" t="s">
        <v>17</v>
      </c>
      <c r="D91" t="s">
        <v>18</v>
      </c>
      <c r="E91" t="s">
        <v>19</v>
      </c>
      <c r="F91" t="s">
        <v>20</v>
      </c>
      <c r="G91" t="s">
        <v>21</v>
      </c>
      <c r="H91" t="s">
        <v>36</v>
      </c>
      <c r="I91" s="1">
        <v>45444</v>
      </c>
      <c r="J91" s="1">
        <v>45449</v>
      </c>
      <c r="K91">
        <v>11000</v>
      </c>
      <c r="L91" t="str">
        <f t="shared" si="1"/>
        <v>Jun</v>
      </c>
      <c r="M91">
        <f>Table1[[#This Row],[Discharge_Date]]-Table1[[#This Row],[Admission_Date]]</f>
        <v>5</v>
      </c>
    </row>
    <row r="92" spans="1:13" x14ac:dyDescent="0.3">
      <c r="A92">
        <v>191</v>
      </c>
      <c r="B92">
        <v>62</v>
      </c>
      <c r="C92" t="s">
        <v>11</v>
      </c>
      <c r="D92" t="s">
        <v>12</v>
      </c>
      <c r="E92" t="s">
        <v>13</v>
      </c>
      <c r="F92" t="s">
        <v>14</v>
      </c>
      <c r="G92" t="s">
        <v>21</v>
      </c>
      <c r="H92" t="s">
        <v>37</v>
      </c>
      <c r="I92" s="1">
        <v>45445</v>
      </c>
      <c r="J92" s="1">
        <v>45452</v>
      </c>
      <c r="K92">
        <v>16000</v>
      </c>
      <c r="L92" t="str">
        <f t="shared" si="1"/>
        <v>Jun</v>
      </c>
      <c r="M92">
        <f>Table1[[#This Row],[Discharge_Date]]-Table1[[#This Row],[Admission_Date]]</f>
        <v>7</v>
      </c>
    </row>
    <row r="93" spans="1:13" x14ac:dyDescent="0.3">
      <c r="A93">
        <v>192</v>
      </c>
      <c r="B93">
        <v>36</v>
      </c>
      <c r="C93" t="s">
        <v>17</v>
      </c>
      <c r="D93" t="s">
        <v>23</v>
      </c>
      <c r="E93" t="s">
        <v>30</v>
      </c>
      <c r="F93" t="s">
        <v>31</v>
      </c>
      <c r="G93" t="s">
        <v>15</v>
      </c>
      <c r="H93" t="s">
        <v>38</v>
      </c>
      <c r="I93" s="1">
        <v>45446</v>
      </c>
      <c r="J93" s="1">
        <v>45446</v>
      </c>
      <c r="K93">
        <v>1400</v>
      </c>
      <c r="L93" t="str">
        <f t="shared" si="1"/>
        <v>Jun</v>
      </c>
      <c r="M93">
        <f>Table1[[#This Row],[Discharge_Date]]-Table1[[#This Row],[Admission_Date]]</f>
        <v>0</v>
      </c>
    </row>
    <row r="94" spans="1:13" x14ac:dyDescent="0.3">
      <c r="A94">
        <v>193</v>
      </c>
      <c r="B94">
        <v>44</v>
      </c>
      <c r="C94" t="s">
        <v>11</v>
      </c>
      <c r="D94" t="s">
        <v>18</v>
      </c>
      <c r="E94" t="s">
        <v>24</v>
      </c>
      <c r="F94" t="s">
        <v>25</v>
      </c>
      <c r="G94" t="s">
        <v>15</v>
      </c>
      <c r="H94" t="s">
        <v>39</v>
      </c>
      <c r="I94" s="1">
        <v>45447</v>
      </c>
      <c r="J94" s="1">
        <v>45447</v>
      </c>
      <c r="K94">
        <v>3200</v>
      </c>
      <c r="L94" t="str">
        <f t="shared" si="1"/>
        <v>Jun</v>
      </c>
      <c r="M94">
        <f>Table1[[#This Row],[Discharge_Date]]-Table1[[#This Row],[Admission_Date]]</f>
        <v>0</v>
      </c>
    </row>
    <row r="95" spans="1:13" x14ac:dyDescent="0.3">
      <c r="A95">
        <v>194</v>
      </c>
      <c r="B95">
        <v>27</v>
      </c>
      <c r="C95" t="s">
        <v>17</v>
      </c>
      <c r="D95" t="s">
        <v>28</v>
      </c>
      <c r="E95" t="s">
        <v>13</v>
      </c>
      <c r="F95" t="s">
        <v>14</v>
      </c>
      <c r="G95" t="s">
        <v>15</v>
      </c>
      <c r="H95" t="s">
        <v>40</v>
      </c>
      <c r="I95" s="1">
        <v>45448</v>
      </c>
      <c r="J95" s="1">
        <v>45448</v>
      </c>
      <c r="K95">
        <v>3000</v>
      </c>
      <c r="L95" t="str">
        <f t="shared" si="1"/>
        <v>Jun</v>
      </c>
      <c r="M95">
        <f>Table1[[#This Row],[Discharge_Date]]-Table1[[#This Row],[Admission_Date]]</f>
        <v>0</v>
      </c>
    </row>
    <row r="96" spans="1:13" x14ac:dyDescent="0.3">
      <c r="A96">
        <v>195</v>
      </c>
      <c r="B96">
        <v>63</v>
      </c>
      <c r="C96" t="s">
        <v>11</v>
      </c>
      <c r="D96" t="s">
        <v>12</v>
      </c>
      <c r="E96" t="s">
        <v>19</v>
      </c>
      <c r="F96" t="s">
        <v>20</v>
      </c>
      <c r="G96" t="s">
        <v>21</v>
      </c>
      <c r="H96" t="s">
        <v>41</v>
      </c>
      <c r="I96" s="1">
        <v>45449</v>
      </c>
      <c r="J96" s="1">
        <v>45456</v>
      </c>
      <c r="K96">
        <v>15500</v>
      </c>
      <c r="L96" t="str">
        <f t="shared" si="1"/>
        <v>Jun</v>
      </c>
      <c r="M96">
        <f>Table1[[#This Row],[Discharge_Date]]-Table1[[#This Row],[Admission_Date]]</f>
        <v>7</v>
      </c>
    </row>
    <row r="97" spans="1:13" x14ac:dyDescent="0.3">
      <c r="A97">
        <v>196</v>
      </c>
      <c r="B97">
        <v>38</v>
      </c>
      <c r="C97" t="s">
        <v>17</v>
      </c>
      <c r="D97" t="s">
        <v>18</v>
      </c>
      <c r="E97" t="s">
        <v>13</v>
      </c>
      <c r="F97" t="s">
        <v>14</v>
      </c>
      <c r="G97" t="s">
        <v>15</v>
      </c>
      <c r="H97" t="s">
        <v>16</v>
      </c>
      <c r="I97" s="1">
        <v>45450</v>
      </c>
      <c r="J97" s="1">
        <v>45450</v>
      </c>
      <c r="K97">
        <v>2500</v>
      </c>
      <c r="L97" t="str">
        <f t="shared" si="1"/>
        <v>Jun</v>
      </c>
      <c r="M97">
        <f>Table1[[#This Row],[Discharge_Date]]-Table1[[#This Row],[Admission_Date]]</f>
        <v>0</v>
      </c>
    </row>
    <row r="98" spans="1:13" x14ac:dyDescent="0.3">
      <c r="A98">
        <v>197</v>
      </c>
      <c r="B98">
        <v>49</v>
      </c>
      <c r="C98" t="s">
        <v>11</v>
      </c>
      <c r="D98" t="s">
        <v>23</v>
      </c>
      <c r="E98" t="s">
        <v>24</v>
      </c>
      <c r="F98" t="s">
        <v>25</v>
      </c>
      <c r="G98" t="s">
        <v>21</v>
      </c>
      <c r="H98" t="s">
        <v>26</v>
      </c>
      <c r="I98" s="1">
        <v>45451</v>
      </c>
      <c r="J98" s="1">
        <v>45457</v>
      </c>
      <c r="K98">
        <v>10500</v>
      </c>
      <c r="L98" t="str">
        <f t="shared" si="1"/>
        <v>Jun</v>
      </c>
      <c r="M98">
        <f>Table1[[#This Row],[Discharge_Date]]-Table1[[#This Row],[Admission_Date]]</f>
        <v>6</v>
      </c>
    </row>
    <row r="99" spans="1:13" x14ac:dyDescent="0.3">
      <c r="A99">
        <v>198</v>
      </c>
      <c r="B99">
        <v>30</v>
      </c>
      <c r="C99" t="s">
        <v>17</v>
      </c>
      <c r="D99" t="s">
        <v>12</v>
      </c>
      <c r="E99" t="s">
        <v>30</v>
      </c>
      <c r="F99" t="s">
        <v>31</v>
      </c>
      <c r="G99" t="s">
        <v>15</v>
      </c>
      <c r="H99" t="s">
        <v>34</v>
      </c>
      <c r="I99" s="1">
        <v>45452</v>
      </c>
      <c r="J99" s="1">
        <v>45452</v>
      </c>
      <c r="K99">
        <v>1700</v>
      </c>
      <c r="L99" t="str">
        <f t="shared" si="1"/>
        <v>Jun</v>
      </c>
      <c r="M99">
        <f>Table1[[#This Row],[Discharge_Date]]-Table1[[#This Row],[Admission_Date]]</f>
        <v>0</v>
      </c>
    </row>
    <row r="100" spans="1:13" x14ac:dyDescent="0.3">
      <c r="A100">
        <v>199</v>
      </c>
      <c r="B100">
        <v>54</v>
      </c>
      <c r="C100" t="s">
        <v>11</v>
      </c>
      <c r="D100" t="s">
        <v>28</v>
      </c>
      <c r="E100" t="s">
        <v>19</v>
      </c>
      <c r="F100" t="s">
        <v>20</v>
      </c>
      <c r="G100" t="s">
        <v>21</v>
      </c>
      <c r="H100" t="s">
        <v>29</v>
      </c>
      <c r="I100" s="1">
        <v>45453</v>
      </c>
      <c r="J100" s="1">
        <v>45459</v>
      </c>
      <c r="K100">
        <v>14000</v>
      </c>
      <c r="L100" t="str">
        <f t="shared" si="1"/>
        <v>Jun</v>
      </c>
      <c r="M100">
        <f>Table1[[#This Row],[Discharge_Date]]-Table1[[#This Row],[Admission_Date]]</f>
        <v>6</v>
      </c>
    </row>
    <row r="101" spans="1:13" x14ac:dyDescent="0.3">
      <c r="A101">
        <v>200</v>
      </c>
      <c r="B101">
        <v>35</v>
      </c>
      <c r="C101" t="s">
        <v>17</v>
      </c>
      <c r="D101" t="s">
        <v>18</v>
      </c>
      <c r="E101" t="s">
        <v>13</v>
      </c>
      <c r="F101" t="s">
        <v>14</v>
      </c>
      <c r="G101" t="s">
        <v>15</v>
      </c>
      <c r="H101" t="s">
        <v>35</v>
      </c>
      <c r="I101" s="1">
        <v>45454</v>
      </c>
      <c r="J101" s="1">
        <v>45454</v>
      </c>
      <c r="K101">
        <v>2800</v>
      </c>
      <c r="L101" t="str">
        <f t="shared" si="1"/>
        <v>Jun</v>
      </c>
      <c r="M101">
        <f>Table1[[#This Row],[Discharge_Date]]-Table1[[#This Row],[Admission_Date]]</f>
        <v>0</v>
      </c>
    </row>
    <row r="102" spans="1:13" x14ac:dyDescent="0.3">
      <c r="A102">
        <v>201</v>
      </c>
      <c r="B102">
        <v>46</v>
      </c>
      <c r="C102" t="s">
        <v>11</v>
      </c>
      <c r="D102" t="s">
        <v>12</v>
      </c>
      <c r="E102" t="s">
        <v>24</v>
      </c>
      <c r="F102" t="s">
        <v>25</v>
      </c>
      <c r="G102" t="s">
        <v>15</v>
      </c>
      <c r="H102" t="s">
        <v>33</v>
      </c>
      <c r="I102" s="1">
        <v>45455</v>
      </c>
      <c r="J102" s="1">
        <v>45455</v>
      </c>
      <c r="K102">
        <v>3400</v>
      </c>
      <c r="L102" t="str">
        <f t="shared" si="1"/>
        <v>Jun</v>
      </c>
      <c r="M102">
        <f>Table1[[#This Row],[Discharge_Date]]-Table1[[#This Row],[Admission_Date]]</f>
        <v>0</v>
      </c>
    </row>
    <row r="103" spans="1:13" x14ac:dyDescent="0.3">
      <c r="A103">
        <v>202</v>
      </c>
      <c r="B103">
        <v>31</v>
      </c>
      <c r="C103" t="s">
        <v>17</v>
      </c>
      <c r="D103" t="s">
        <v>18</v>
      </c>
      <c r="E103" t="s">
        <v>30</v>
      </c>
      <c r="F103" t="s">
        <v>31</v>
      </c>
      <c r="G103" t="s">
        <v>15</v>
      </c>
      <c r="H103" t="s">
        <v>32</v>
      </c>
      <c r="I103" s="1">
        <v>45456</v>
      </c>
      <c r="J103" s="1">
        <v>45456</v>
      </c>
      <c r="K103">
        <v>1600</v>
      </c>
      <c r="L103" t="str">
        <f t="shared" si="1"/>
        <v>Jun</v>
      </c>
      <c r="M103">
        <f>Table1[[#This Row],[Discharge_Date]]-Table1[[#This Row],[Admission_Date]]</f>
        <v>0</v>
      </c>
    </row>
    <row r="104" spans="1:13" x14ac:dyDescent="0.3">
      <c r="A104">
        <v>203</v>
      </c>
      <c r="B104">
        <v>58</v>
      </c>
      <c r="C104" t="s">
        <v>11</v>
      </c>
      <c r="D104" t="s">
        <v>23</v>
      </c>
      <c r="E104" t="s">
        <v>19</v>
      </c>
      <c r="F104" t="s">
        <v>20</v>
      </c>
      <c r="G104" t="s">
        <v>21</v>
      </c>
      <c r="H104" t="s">
        <v>29</v>
      </c>
      <c r="I104" s="1">
        <v>45457</v>
      </c>
      <c r="J104" s="1">
        <v>45463</v>
      </c>
      <c r="K104">
        <v>15000</v>
      </c>
      <c r="L104" t="str">
        <f t="shared" si="1"/>
        <v>Jun</v>
      </c>
      <c r="M104">
        <f>Table1[[#This Row],[Discharge_Date]]-Table1[[#This Row],[Admission_Date]]</f>
        <v>6</v>
      </c>
    </row>
    <row r="105" spans="1:13" x14ac:dyDescent="0.3">
      <c r="A105">
        <v>204</v>
      </c>
      <c r="B105">
        <v>37</v>
      </c>
      <c r="C105" t="s">
        <v>17</v>
      </c>
      <c r="D105" t="s">
        <v>28</v>
      </c>
      <c r="E105" t="s">
        <v>13</v>
      </c>
      <c r="F105" t="s">
        <v>14</v>
      </c>
      <c r="G105" t="s">
        <v>15</v>
      </c>
      <c r="H105" t="s">
        <v>16</v>
      </c>
      <c r="I105" s="1">
        <v>45458</v>
      </c>
      <c r="J105" s="1">
        <v>45458</v>
      </c>
      <c r="K105">
        <v>2600</v>
      </c>
      <c r="L105" t="str">
        <f t="shared" si="1"/>
        <v>Jun</v>
      </c>
      <c r="M105">
        <f>Table1[[#This Row],[Discharge_Date]]-Table1[[#This Row],[Admission_Date]]</f>
        <v>0</v>
      </c>
    </row>
    <row r="106" spans="1:13" x14ac:dyDescent="0.3">
      <c r="A106">
        <v>205</v>
      </c>
      <c r="B106">
        <v>48</v>
      </c>
      <c r="C106" t="s">
        <v>11</v>
      </c>
      <c r="D106" t="s">
        <v>12</v>
      </c>
      <c r="E106" t="s">
        <v>24</v>
      </c>
      <c r="F106" t="s">
        <v>25</v>
      </c>
      <c r="G106" t="s">
        <v>21</v>
      </c>
      <c r="H106" t="s">
        <v>26</v>
      </c>
      <c r="I106" s="1">
        <v>45459</v>
      </c>
      <c r="J106" s="1">
        <v>45465</v>
      </c>
      <c r="K106">
        <v>10200</v>
      </c>
      <c r="L106" t="str">
        <f t="shared" si="1"/>
        <v>Jun</v>
      </c>
      <c r="M106">
        <f>Table1[[#This Row],[Discharge_Date]]-Table1[[#This Row],[Admission_Date]]</f>
        <v>6</v>
      </c>
    </row>
    <row r="107" spans="1:13" x14ac:dyDescent="0.3">
      <c r="A107">
        <v>206</v>
      </c>
      <c r="B107">
        <v>32</v>
      </c>
      <c r="C107" t="s">
        <v>17</v>
      </c>
      <c r="D107" t="s">
        <v>18</v>
      </c>
      <c r="E107" t="s">
        <v>13</v>
      </c>
      <c r="F107" t="s">
        <v>14</v>
      </c>
      <c r="G107" t="s">
        <v>15</v>
      </c>
      <c r="H107" t="s">
        <v>35</v>
      </c>
      <c r="I107" s="1">
        <v>45460</v>
      </c>
      <c r="J107" s="1">
        <v>45460</v>
      </c>
      <c r="K107">
        <v>2900</v>
      </c>
      <c r="L107" t="str">
        <f t="shared" si="1"/>
        <v>Jun</v>
      </c>
      <c r="M107">
        <f>Table1[[#This Row],[Discharge_Date]]-Table1[[#This Row],[Admission_Date]]</f>
        <v>0</v>
      </c>
    </row>
    <row r="108" spans="1:13" x14ac:dyDescent="0.3">
      <c r="A108">
        <v>207</v>
      </c>
      <c r="B108">
        <v>43</v>
      </c>
      <c r="C108" t="s">
        <v>11</v>
      </c>
      <c r="D108" t="s">
        <v>23</v>
      </c>
      <c r="E108" t="s">
        <v>19</v>
      </c>
      <c r="F108" t="s">
        <v>20</v>
      </c>
      <c r="G108" t="s">
        <v>15</v>
      </c>
      <c r="H108" t="s">
        <v>22</v>
      </c>
      <c r="I108" s="1">
        <v>45461</v>
      </c>
      <c r="J108" s="1">
        <v>45461</v>
      </c>
      <c r="K108">
        <v>3700</v>
      </c>
      <c r="L108" t="str">
        <f t="shared" si="1"/>
        <v>Jun</v>
      </c>
      <c r="M108">
        <f>Table1[[#This Row],[Discharge_Date]]-Table1[[#This Row],[Admission_Date]]</f>
        <v>0</v>
      </c>
    </row>
    <row r="109" spans="1:13" x14ac:dyDescent="0.3">
      <c r="A109">
        <v>208</v>
      </c>
      <c r="B109">
        <v>29</v>
      </c>
      <c r="C109" t="s">
        <v>17</v>
      </c>
      <c r="D109" t="s">
        <v>12</v>
      </c>
      <c r="E109" t="s">
        <v>30</v>
      </c>
      <c r="F109" t="s">
        <v>31</v>
      </c>
      <c r="G109" t="s">
        <v>15</v>
      </c>
      <c r="H109" t="s">
        <v>34</v>
      </c>
      <c r="I109" s="1">
        <v>45462</v>
      </c>
      <c r="J109" s="1">
        <v>45462</v>
      </c>
      <c r="K109">
        <v>1800</v>
      </c>
      <c r="L109" t="str">
        <f t="shared" si="1"/>
        <v>Jun</v>
      </c>
      <c r="M109">
        <f>Table1[[#This Row],[Discharge_Date]]-Table1[[#This Row],[Admission_Date]]</f>
        <v>0</v>
      </c>
    </row>
    <row r="110" spans="1:13" x14ac:dyDescent="0.3">
      <c r="A110">
        <v>209</v>
      </c>
      <c r="B110">
        <v>56</v>
      </c>
      <c r="C110" t="s">
        <v>11</v>
      </c>
      <c r="D110" t="s">
        <v>28</v>
      </c>
      <c r="E110" t="s">
        <v>13</v>
      </c>
      <c r="F110" t="s">
        <v>14</v>
      </c>
      <c r="G110" t="s">
        <v>21</v>
      </c>
      <c r="H110" t="s">
        <v>27</v>
      </c>
      <c r="I110" s="1">
        <v>45463</v>
      </c>
      <c r="J110" s="1">
        <v>45469</v>
      </c>
      <c r="K110">
        <v>14500</v>
      </c>
      <c r="L110" t="str">
        <f t="shared" si="1"/>
        <v>Jun</v>
      </c>
      <c r="M110">
        <f>Table1[[#This Row],[Discharge_Date]]-Table1[[#This Row],[Admission_Date]]</f>
        <v>6</v>
      </c>
    </row>
    <row r="111" spans="1:13" x14ac:dyDescent="0.3">
      <c r="A111">
        <v>210</v>
      </c>
      <c r="B111">
        <v>39</v>
      </c>
      <c r="C111" t="s">
        <v>17</v>
      </c>
      <c r="D111" t="s">
        <v>18</v>
      </c>
      <c r="E111" t="s">
        <v>24</v>
      </c>
      <c r="F111" t="s">
        <v>25</v>
      </c>
      <c r="G111" t="s">
        <v>15</v>
      </c>
      <c r="H111" t="s">
        <v>39</v>
      </c>
      <c r="I111" s="1">
        <v>45464</v>
      </c>
      <c r="J111" s="1">
        <v>45464</v>
      </c>
      <c r="K111">
        <v>3300</v>
      </c>
      <c r="L111" t="str">
        <f t="shared" si="1"/>
        <v>Jun</v>
      </c>
      <c r="M111">
        <f>Table1[[#This Row],[Discharge_Date]]-Table1[[#This Row],[Admission_Date]]</f>
        <v>0</v>
      </c>
    </row>
    <row r="112" spans="1:13" x14ac:dyDescent="0.3">
      <c r="A112">
        <v>211</v>
      </c>
      <c r="B112">
        <v>51</v>
      </c>
      <c r="C112" t="s">
        <v>11</v>
      </c>
      <c r="D112" t="s">
        <v>12</v>
      </c>
      <c r="E112" t="s">
        <v>19</v>
      </c>
      <c r="F112" t="s">
        <v>20</v>
      </c>
      <c r="G112" t="s">
        <v>21</v>
      </c>
      <c r="H112" t="s">
        <v>36</v>
      </c>
      <c r="I112" s="1">
        <v>45465</v>
      </c>
      <c r="J112" s="1">
        <v>45471</v>
      </c>
      <c r="K112">
        <v>13000</v>
      </c>
      <c r="L112" t="str">
        <f t="shared" si="1"/>
        <v>Jun</v>
      </c>
      <c r="M112">
        <f>Table1[[#This Row],[Discharge_Date]]-Table1[[#This Row],[Admission_Date]]</f>
        <v>6</v>
      </c>
    </row>
    <row r="113" spans="1:13" x14ac:dyDescent="0.3">
      <c r="A113">
        <v>212</v>
      </c>
      <c r="B113">
        <v>34</v>
      </c>
      <c r="C113" t="s">
        <v>17</v>
      </c>
      <c r="D113" t="s">
        <v>23</v>
      </c>
      <c r="E113" t="s">
        <v>13</v>
      </c>
      <c r="F113" t="s">
        <v>14</v>
      </c>
      <c r="G113" t="s">
        <v>15</v>
      </c>
      <c r="H113" t="s">
        <v>40</v>
      </c>
      <c r="I113" s="1">
        <v>45466</v>
      </c>
      <c r="J113" s="1">
        <v>45466</v>
      </c>
      <c r="K113">
        <v>3100</v>
      </c>
      <c r="L113" t="str">
        <f t="shared" si="1"/>
        <v>Jun</v>
      </c>
      <c r="M113">
        <f>Table1[[#This Row],[Discharge_Date]]-Table1[[#This Row],[Admission_Date]]</f>
        <v>0</v>
      </c>
    </row>
    <row r="114" spans="1:13" x14ac:dyDescent="0.3">
      <c r="A114">
        <v>213</v>
      </c>
      <c r="B114">
        <v>59</v>
      </c>
      <c r="C114" t="s">
        <v>11</v>
      </c>
      <c r="D114" t="s">
        <v>28</v>
      </c>
      <c r="E114" t="s">
        <v>24</v>
      </c>
      <c r="F114" t="s">
        <v>25</v>
      </c>
      <c r="G114" t="s">
        <v>21</v>
      </c>
      <c r="H114" t="s">
        <v>33</v>
      </c>
      <c r="I114" s="1">
        <v>45467</v>
      </c>
      <c r="J114" s="1">
        <v>45473</v>
      </c>
      <c r="K114">
        <v>10800</v>
      </c>
      <c r="L114" t="str">
        <f t="shared" si="1"/>
        <v>Jun</v>
      </c>
      <c r="M114">
        <f>Table1[[#This Row],[Discharge_Date]]-Table1[[#This Row],[Admission_Date]]</f>
        <v>6</v>
      </c>
    </row>
    <row r="115" spans="1:13" x14ac:dyDescent="0.3">
      <c r="A115">
        <v>214</v>
      </c>
      <c r="B115">
        <v>28</v>
      </c>
      <c r="C115" t="s">
        <v>17</v>
      </c>
      <c r="D115" t="s">
        <v>12</v>
      </c>
      <c r="E115" t="s">
        <v>30</v>
      </c>
      <c r="F115" t="s">
        <v>31</v>
      </c>
      <c r="G115" t="s">
        <v>15</v>
      </c>
      <c r="H115" t="s">
        <v>38</v>
      </c>
      <c r="I115" s="1">
        <v>45468</v>
      </c>
      <c r="J115" s="1">
        <v>45468</v>
      </c>
      <c r="K115">
        <v>1500</v>
      </c>
      <c r="L115" t="str">
        <f t="shared" si="1"/>
        <v>Jun</v>
      </c>
      <c r="M115">
        <f>Table1[[#This Row],[Discharge_Date]]-Table1[[#This Row],[Admission_Date]]</f>
        <v>0</v>
      </c>
    </row>
    <row r="116" spans="1:13" x14ac:dyDescent="0.3">
      <c r="A116">
        <v>215</v>
      </c>
      <c r="B116">
        <v>47</v>
      </c>
      <c r="C116" t="s">
        <v>11</v>
      </c>
      <c r="D116" t="s">
        <v>18</v>
      </c>
      <c r="E116" t="s">
        <v>13</v>
      </c>
      <c r="F116" t="s">
        <v>14</v>
      </c>
      <c r="G116" t="s">
        <v>15</v>
      </c>
      <c r="H116" t="s">
        <v>16</v>
      </c>
      <c r="I116" s="1">
        <v>45469</v>
      </c>
      <c r="J116" s="1">
        <v>45469</v>
      </c>
      <c r="K116">
        <v>2700</v>
      </c>
      <c r="L116" t="str">
        <f t="shared" si="1"/>
        <v>Jun</v>
      </c>
      <c r="M116">
        <f>Table1[[#This Row],[Discharge_Date]]-Table1[[#This Row],[Admission_Date]]</f>
        <v>0</v>
      </c>
    </row>
    <row r="117" spans="1:13" x14ac:dyDescent="0.3">
      <c r="A117">
        <v>216</v>
      </c>
      <c r="B117">
        <v>40</v>
      </c>
      <c r="C117" t="s">
        <v>17</v>
      </c>
      <c r="D117" t="s">
        <v>23</v>
      </c>
      <c r="E117" t="s">
        <v>19</v>
      </c>
      <c r="F117" t="s">
        <v>20</v>
      </c>
      <c r="G117" t="s">
        <v>21</v>
      </c>
      <c r="H117" t="s">
        <v>22</v>
      </c>
      <c r="I117" s="1">
        <v>45470</v>
      </c>
      <c r="J117" s="1">
        <v>45475</v>
      </c>
      <c r="K117">
        <v>9500</v>
      </c>
      <c r="L117" t="str">
        <f t="shared" si="1"/>
        <v>Jun</v>
      </c>
      <c r="M117">
        <f>Table1[[#This Row],[Discharge_Date]]-Table1[[#This Row],[Admission_Date]]</f>
        <v>5</v>
      </c>
    </row>
    <row r="118" spans="1:13" x14ac:dyDescent="0.3">
      <c r="A118">
        <v>217</v>
      </c>
      <c r="B118">
        <v>53</v>
      </c>
      <c r="C118" t="s">
        <v>11</v>
      </c>
      <c r="D118" t="s">
        <v>12</v>
      </c>
      <c r="E118" t="s">
        <v>24</v>
      </c>
      <c r="F118" t="s">
        <v>25</v>
      </c>
      <c r="G118" t="s">
        <v>15</v>
      </c>
      <c r="H118" t="s">
        <v>39</v>
      </c>
      <c r="I118" s="1">
        <v>45471</v>
      </c>
      <c r="J118" s="1">
        <v>45471</v>
      </c>
      <c r="K118">
        <v>3500</v>
      </c>
      <c r="L118" t="str">
        <f t="shared" si="1"/>
        <v>Jun</v>
      </c>
      <c r="M118">
        <f>Table1[[#This Row],[Discharge_Date]]-Table1[[#This Row],[Admission_Date]]</f>
        <v>0</v>
      </c>
    </row>
    <row r="119" spans="1:13" x14ac:dyDescent="0.3">
      <c r="A119">
        <v>218</v>
      </c>
      <c r="B119">
        <v>36</v>
      </c>
      <c r="C119" t="s">
        <v>17</v>
      </c>
      <c r="D119" t="s">
        <v>28</v>
      </c>
      <c r="E119" t="s">
        <v>13</v>
      </c>
      <c r="F119" t="s">
        <v>14</v>
      </c>
      <c r="G119" t="s">
        <v>15</v>
      </c>
      <c r="H119" t="s">
        <v>35</v>
      </c>
      <c r="I119" s="1">
        <v>45472</v>
      </c>
      <c r="J119" s="1">
        <v>45472</v>
      </c>
      <c r="K119">
        <v>2900</v>
      </c>
      <c r="L119" t="str">
        <f t="shared" si="1"/>
        <v>Jun</v>
      </c>
      <c r="M119">
        <f>Table1[[#This Row],[Discharge_Date]]-Table1[[#This Row],[Admission_Date]]</f>
        <v>0</v>
      </c>
    </row>
    <row r="120" spans="1:13" x14ac:dyDescent="0.3">
      <c r="A120">
        <v>219</v>
      </c>
      <c r="B120">
        <v>61</v>
      </c>
      <c r="C120" t="s">
        <v>11</v>
      </c>
      <c r="D120" t="s">
        <v>18</v>
      </c>
      <c r="E120" t="s">
        <v>19</v>
      </c>
      <c r="F120" t="s">
        <v>20</v>
      </c>
      <c r="G120" t="s">
        <v>21</v>
      </c>
      <c r="H120" t="s">
        <v>41</v>
      </c>
      <c r="I120" s="1">
        <v>45473</v>
      </c>
      <c r="J120" s="1">
        <v>45479</v>
      </c>
      <c r="K120">
        <v>15500</v>
      </c>
      <c r="L120" t="str">
        <f t="shared" si="1"/>
        <v>Jun</v>
      </c>
      <c r="M120">
        <f>Table1[[#This Row],[Discharge_Date]]-Table1[[#This Row],[Admission_Date]]</f>
        <v>6</v>
      </c>
    </row>
    <row r="121" spans="1:13" x14ac:dyDescent="0.3">
      <c r="A121">
        <v>220</v>
      </c>
      <c r="B121">
        <v>30</v>
      </c>
      <c r="C121" t="s">
        <v>17</v>
      </c>
      <c r="D121" t="s">
        <v>12</v>
      </c>
      <c r="E121" t="s">
        <v>30</v>
      </c>
      <c r="F121" t="s">
        <v>31</v>
      </c>
      <c r="G121" t="s">
        <v>15</v>
      </c>
      <c r="H121" t="s">
        <v>34</v>
      </c>
      <c r="I121" s="1">
        <v>45474</v>
      </c>
      <c r="J121" s="1">
        <v>45474</v>
      </c>
      <c r="K121">
        <v>1800</v>
      </c>
      <c r="L121" t="str">
        <f t="shared" si="1"/>
        <v>Jul</v>
      </c>
      <c r="M121">
        <f>Table1[[#This Row],[Discharge_Date]]-Table1[[#This Row],[Admission_Date]]</f>
        <v>0</v>
      </c>
    </row>
    <row r="122" spans="1:13" x14ac:dyDescent="0.3">
      <c r="A122">
        <v>221</v>
      </c>
      <c r="B122">
        <v>49</v>
      </c>
      <c r="C122" t="s">
        <v>11</v>
      </c>
      <c r="D122" t="s">
        <v>12</v>
      </c>
      <c r="E122" t="s">
        <v>13</v>
      </c>
      <c r="F122" t="s">
        <v>14</v>
      </c>
      <c r="G122" t="s">
        <v>15</v>
      </c>
      <c r="H122" t="s">
        <v>16</v>
      </c>
      <c r="I122" s="1">
        <v>45475</v>
      </c>
      <c r="J122" s="1">
        <v>45475</v>
      </c>
      <c r="K122">
        <v>2800</v>
      </c>
      <c r="L122" t="str">
        <f t="shared" si="1"/>
        <v>Jul</v>
      </c>
      <c r="M122">
        <f>Table1[[#This Row],[Discharge_Date]]-Table1[[#This Row],[Admission_Date]]</f>
        <v>0</v>
      </c>
    </row>
    <row r="123" spans="1:13" x14ac:dyDescent="0.3">
      <c r="A123">
        <v>222</v>
      </c>
      <c r="B123">
        <v>35</v>
      </c>
      <c r="C123" t="s">
        <v>17</v>
      </c>
      <c r="D123" t="s">
        <v>18</v>
      </c>
      <c r="E123" t="s">
        <v>19</v>
      </c>
      <c r="F123" t="s">
        <v>20</v>
      </c>
      <c r="G123" t="s">
        <v>21</v>
      </c>
      <c r="H123" t="s">
        <v>22</v>
      </c>
      <c r="I123" s="1">
        <v>45476</v>
      </c>
      <c r="J123" s="1">
        <v>45481</v>
      </c>
      <c r="K123">
        <v>9700</v>
      </c>
      <c r="L123" t="str">
        <f t="shared" si="1"/>
        <v>Jul</v>
      </c>
      <c r="M123">
        <f>Table1[[#This Row],[Discharge_Date]]-Table1[[#This Row],[Admission_Date]]</f>
        <v>5</v>
      </c>
    </row>
    <row r="124" spans="1:13" x14ac:dyDescent="0.3">
      <c r="A124">
        <v>223</v>
      </c>
      <c r="B124">
        <v>52</v>
      </c>
      <c r="C124" t="s">
        <v>11</v>
      </c>
      <c r="D124" t="s">
        <v>23</v>
      </c>
      <c r="E124" t="s">
        <v>24</v>
      </c>
      <c r="F124" t="s">
        <v>25</v>
      </c>
      <c r="G124" t="s">
        <v>15</v>
      </c>
      <c r="H124" t="s">
        <v>33</v>
      </c>
      <c r="I124" s="1">
        <v>45477</v>
      </c>
      <c r="J124" s="1">
        <v>45477</v>
      </c>
      <c r="K124">
        <v>3600</v>
      </c>
      <c r="L124" t="str">
        <f t="shared" si="1"/>
        <v>Jul</v>
      </c>
      <c r="M124">
        <f>Table1[[#This Row],[Discharge_Date]]-Table1[[#This Row],[Admission_Date]]</f>
        <v>0</v>
      </c>
    </row>
    <row r="125" spans="1:13" x14ac:dyDescent="0.3">
      <c r="A125">
        <v>224</v>
      </c>
      <c r="B125">
        <v>30</v>
      </c>
      <c r="C125" t="s">
        <v>17</v>
      </c>
      <c r="D125" t="s">
        <v>28</v>
      </c>
      <c r="E125" t="s">
        <v>30</v>
      </c>
      <c r="F125" t="s">
        <v>31</v>
      </c>
      <c r="G125" t="s">
        <v>15</v>
      </c>
      <c r="H125" t="s">
        <v>32</v>
      </c>
      <c r="I125" s="1">
        <v>45478</v>
      </c>
      <c r="J125" s="1">
        <v>45478</v>
      </c>
      <c r="K125">
        <v>1700</v>
      </c>
      <c r="L125" t="str">
        <f t="shared" si="1"/>
        <v>Jul</v>
      </c>
      <c r="M125">
        <f>Table1[[#This Row],[Discharge_Date]]-Table1[[#This Row],[Admission_Date]]</f>
        <v>0</v>
      </c>
    </row>
    <row r="126" spans="1:13" x14ac:dyDescent="0.3">
      <c r="A126">
        <v>225</v>
      </c>
      <c r="B126">
        <v>58</v>
      </c>
      <c r="C126" t="s">
        <v>11</v>
      </c>
      <c r="D126" t="s">
        <v>12</v>
      </c>
      <c r="E126" t="s">
        <v>13</v>
      </c>
      <c r="F126" t="s">
        <v>14</v>
      </c>
      <c r="G126" t="s">
        <v>21</v>
      </c>
      <c r="H126" t="s">
        <v>27</v>
      </c>
      <c r="I126" s="1">
        <v>45479</v>
      </c>
      <c r="J126" s="1">
        <v>45485</v>
      </c>
      <c r="K126">
        <v>15000</v>
      </c>
      <c r="L126" t="str">
        <f t="shared" si="1"/>
        <v>Jul</v>
      </c>
      <c r="M126">
        <f>Table1[[#This Row],[Discharge_Date]]-Table1[[#This Row],[Admission_Date]]</f>
        <v>6</v>
      </c>
    </row>
    <row r="127" spans="1:13" x14ac:dyDescent="0.3">
      <c r="A127">
        <v>226</v>
      </c>
      <c r="B127">
        <v>42</v>
      </c>
      <c r="C127" t="s">
        <v>17</v>
      </c>
      <c r="D127" t="s">
        <v>18</v>
      </c>
      <c r="E127" t="s">
        <v>19</v>
      </c>
      <c r="F127" t="s">
        <v>20</v>
      </c>
      <c r="G127" t="s">
        <v>15</v>
      </c>
      <c r="H127" t="s">
        <v>22</v>
      </c>
      <c r="I127" s="1">
        <v>45480</v>
      </c>
      <c r="J127" s="1">
        <v>45480</v>
      </c>
      <c r="K127">
        <v>3800</v>
      </c>
      <c r="L127" t="str">
        <f t="shared" si="1"/>
        <v>Jul</v>
      </c>
      <c r="M127">
        <f>Table1[[#This Row],[Discharge_Date]]-Table1[[#This Row],[Admission_Date]]</f>
        <v>0</v>
      </c>
    </row>
    <row r="128" spans="1:13" x14ac:dyDescent="0.3">
      <c r="A128">
        <v>227</v>
      </c>
      <c r="B128">
        <v>47</v>
      </c>
      <c r="C128" t="s">
        <v>11</v>
      </c>
      <c r="D128" t="s">
        <v>23</v>
      </c>
      <c r="E128" t="s">
        <v>24</v>
      </c>
      <c r="F128" t="s">
        <v>25</v>
      </c>
      <c r="G128" t="s">
        <v>21</v>
      </c>
      <c r="H128" t="s">
        <v>26</v>
      </c>
      <c r="I128" s="1">
        <v>45481</v>
      </c>
      <c r="J128" s="1">
        <v>45487</v>
      </c>
      <c r="K128">
        <v>10200</v>
      </c>
      <c r="L128" t="str">
        <f t="shared" si="1"/>
        <v>Jul</v>
      </c>
      <c r="M128">
        <f>Table1[[#This Row],[Discharge_Date]]-Table1[[#This Row],[Admission_Date]]</f>
        <v>6</v>
      </c>
    </row>
    <row r="129" spans="1:13" x14ac:dyDescent="0.3">
      <c r="A129">
        <v>228</v>
      </c>
      <c r="B129">
        <v>29</v>
      </c>
      <c r="C129" t="s">
        <v>17</v>
      </c>
      <c r="D129" t="s">
        <v>12</v>
      </c>
      <c r="E129" t="s">
        <v>30</v>
      </c>
      <c r="F129" t="s">
        <v>31</v>
      </c>
      <c r="G129" t="s">
        <v>15</v>
      </c>
      <c r="H129" t="s">
        <v>34</v>
      </c>
      <c r="I129" s="1">
        <v>45482</v>
      </c>
      <c r="J129" s="1">
        <v>45482</v>
      </c>
      <c r="K129">
        <v>1800</v>
      </c>
      <c r="L129" t="str">
        <f t="shared" si="1"/>
        <v>Jul</v>
      </c>
      <c r="M129">
        <f>Table1[[#This Row],[Discharge_Date]]-Table1[[#This Row],[Admission_Date]]</f>
        <v>0</v>
      </c>
    </row>
    <row r="130" spans="1:13" x14ac:dyDescent="0.3">
      <c r="A130">
        <v>229</v>
      </c>
      <c r="B130">
        <v>56</v>
      </c>
      <c r="C130" t="s">
        <v>11</v>
      </c>
      <c r="D130" t="s">
        <v>28</v>
      </c>
      <c r="E130" t="s">
        <v>13</v>
      </c>
      <c r="F130" t="s">
        <v>14</v>
      </c>
      <c r="G130" t="s">
        <v>15</v>
      </c>
      <c r="H130" t="s">
        <v>35</v>
      </c>
      <c r="I130" s="1">
        <v>45483</v>
      </c>
      <c r="J130" s="1">
        <v>45483</v>
      </c>
      <c r="K130">
        <v>3000</v>
      </c>
      <c r="L130" t="str">
        <f t="shared" ref="L130:L193" si="2">TEXT(I130,"mmm")</f>
        <v>Jul</v>
      </c>
      <c r="M130">
        <f>Table1[[#This Row],[Discharge_Date]]-Table1[[#This Row],[Admission_Date]]</f>
        <v>0</v>
      </c>
    </row>
    <row r="131" spans="1:13" x14ac:dyDescent="0.3">
      <c r="A131">
        <v>230</v>
      </c>
      <c r="B131">
        <v>33</v>
      </c>
      <c r="C131" t="s">
        <v>17</v>
      </c>
      <c r="D131" t="s">
        <v>18</v>
      </c>
      <c r="E131" t="s">
        <v>19</v>
      </c>
      <c r="F131" t="s">
        <v>20</v>
      </c>
      <c r="G131" t="s">
        <v>21</v>
      </c>
      <c r="H131" t="s">
        <v>36</v>
      </c>
      <c r="I131" s="1">
        <v>45484</v>
      </c>
      <c r="J131" s="1">
        <v>45489</v>
      </c>
      <c r="K131">
        <v>11500</v>
      </c>
      <c r="L131" t="str">
        <f t="shared" si="2"/>
        <v>Jul</v>
      </c>
      <c r="M131">
        <f>Table1[[#This Row],[Discharge_Date]]-Table1[[#This Row],[Admission_Date]]</f>
        <v>5</v>
      </c>
    </row>
    <row r="132" spans="1:13" x14ac:dyDescent="0.3">
      <c r="A132">
        <v>231</v>
      </c>
      <c r="B132">
        <v>63</v>
      </c>
      <c r="C132" t="s">
        <v>11</v>
      </c>
      <c r="D132" t="s">
        <v>12</v>
      </c>
      <c r="E132" t="s">
        <v>13</v>
      </c>
      <c r="F132" t="s">
        <v>14</v>
      </c>
      <c r="G132" t="s">
        <v>21</v>
      </c>
      <c r="H132" t="s">
        <v>37</v>
      </c>
      <c r="I132" s="1">
        <v>45485</v>
      </c>
      <c r="J132" s="1">
        <v>45492</v>
      </c>
      <c r="K132">
        <v>16500</v>
      </c>
      <c r="L132" t="str">
        <f t="shared" si="2"/>
        <v>Jul</v>
      </c>
      <c r="M132">
        <f>Table1[[#This Row],[Discharge_Date]]-Table1[[#This Row],[Admission_Date]]</f>
        <v>7</v>
      </c>
    </row>
    <row r="133" spans="1:13" x14ac:dyDescent="0.3">
      <c r="A133">
        <v>232</v>
      </c>
      <c r="B133">
        <v>37</v>
      </c>
      <c r="C133" t="s">
        <v>17</v>
      </c>
      <c r="D133" t="s">
        <v>23</v>
      </c>
      <c r="E133" t="s">
        <v>30</v>
      </c>
      <c r="F133" t="s">
        <v>31</v>
      </c>
      <c r="G133" t="s">
        <v>15</v>
      </c>
      <c r="H133" t="s">
        <v>38</v>
      </c>
      <c r="I133" s="1">
        <v>45486</v>
      </c>
      <c r="J133" s="1">
        <v>45486</v>
      </c>
      <c r="K133">
        <v>1500</v>
      </c>
      <c r="L133" t="str">
        <f t="shared" si="2"/>
        <v>Jul</v>
      </c>
      <c r="M133">
        <f>Table1[[#This Row],[Discharge_Date]]-Table1[[#This Row],[Admission_Date]]</f>
        <v>0</v>
      </c>
    </row>
    <row r="134" spans="1:13" x14ac:dyDescent="0.3">
      <c r="A134">
        <v>233</v>
      </c>
      <c r="B134">
        <v>45</v>
      </c>
      <c r="C134" t="s">
        <v>11</v>
      </c>
      <c r="D134" t="s">
        <v>18</v>
      </c>
      <c r="E134" t="s">
        <v>24</v>
      </c>
      <c r="F134" t="s">
        <v>25</v>
      </c>
      <c r="G134" t="s">
        <v>15</v>
      </c>
      <c r="H134" t="s">
        <v>39</v>
      </c>
      <c r="I134" s="1">
        <v>45487</v>
      </c>
      <c r="J134" s="1">
        <v>45487</v>
      </c>
      <c r="K134">
        <v>3300</v>
      </c>
      <c r="L134" t="str">
        <f t="shared" si="2"/>
        <v>Jul</v>
      </c>
      <c r="M134">
        <f>Table1[[#This Row],[Discharge_Date]]-Table1[[#This Row],[Admission_Date]]</f>
        <v>0</v>
      </c>
    </row>
    <row r="135" spans="1:13" x14ac:dyDescent="0.3">
      <c r="A135">
        <v>234</v>
      </c>
      <c r="B135">
        <v>28</v>
      </c>
      <c r="C135" t="s">
        <v>17</v>
      </c>
      <c r="D135" t="s">
        <v>28</v>
      </c>
      <c r="E135" t="s">
        <v>13</v>
      </c>
      <c r="F135" t="s">
        <v>14</v>
      </c>
      <c r="G135" t="s">
        <v>15</v>
      </c>
      <c r="H135" t="s">
        <v>40</v>
      </c>
      <c r="I135" s="1">
        <v>45488</v>
      </c>
      <c r="J135" s="1">
        <v>45488</v>
      </c>
      <c r="K135">
        <v>3100</v>
      </c>
      <c r="L135" t="str">
        <f t="shared" si="2"/>
        <v>Jul</v>
      </c>
      <c r="M135">
        <f>Table1[[#This Row],[Discharge_Date]]-Table1[[#This Row],[Admission_Date]]</f>
        <v>0</v>
      </c>
    </row>
    <row r="136" spans="1:13" x14ac:dyDescent="0.3">
      <c r="A136">
        <v>235</v>
      </c>
      <c r="B136">
        <v>64</v>
      </c>
      <c r="C136" t="s">
        <v>11</v>
      </c>
      <c r="D136" t="s">
        <v>12</v>
      </c>
      <c r="E136" t="s">
        <v>19</v>
      </c>
      <c r="F136" t="s">
        <v>20</v>
      </c>
      <c r="G136" t="s">
        <v>21</v>
      </c>
      <c r="H136" t="s">
        <v>41</v>
      </c>
      <c r="I136" s="1">
        <v>45489</v>
      </c>
      <c r="J136" s="1">
        <v>45496</v>
      </c>
      <c r="K136">
        <v>16000</v>
      </c>
      <c r="L136" t="str">
        <f t="shared" si="2"/>
        <v>Jul</v>
      </c>
      <c r="M136">
        <f>Table1[[#This Row],[Discharge_Date]]-Table1[[#This Row],[Admission_Date]]</f>
        <v>7</v>
      </c>
    </row>
    <row r="137" spans="1:13" x14ac:dyDescent="0.3">
      <c r="A137">
        <v>236</v>
      </c>
      <c r="B137">
        <v>39</v>
      </c>
      <c r="C137" t="s">
        <v>17</v>
      </c>
      <c r="D137" t="s">
        <v>18</v>
      </c>
      <c r="E137" t="s">
        <v>13</v>
      </c>
      <c r="F137" t="s">
        <v>14</v>
      </c>
      <c r="G137" t="s">
        <v>15</v>
      </c>
      <c r="H137" t="s">
        <v>16</v>
      </c>
      <c r="I137" s="1">
        <v>45490</v>
      </c>
      <c r="J137" s="1">
        <v>45490</v>
      </c>
      <c r="K137">
        <v>2600</v>
      </c>
      <c r="L137" t="str">
        <f t="shared" si="2"/>
        <v>Jul</v>
      </c>
      <c r="M137">
        <f>Table1[[#This Row],[Discharge_Date]]-Table1[[#This Row],[Admission_Date]]</f>
        <v>0</v>
      </c>
    </row>
    <row r="138" spans="1:13" x14ac:dyDescent="0.3">
      <c r="A138">
        <v>237</v>
      </c>
      <c r="B138">
        <v>50</v>
      </c>
      <c r="C138" t="s">
        <v>11</v>
      </c>
      <c r="D138" t="s">
        <v>23</v>
      </c>
      <c r="E138" t="s">
        <v>24</v>
      </c>
      <c r="F138" t="s">
        <v>25</v>
      </c>
      <c r="G138" t="s">
        <v>21</v>
      </c>
      <c r="H138" t="s">
        <v>26</v>
      </c>
      <c r="I138" s="1">
        <v>45491</v>
      </c>
      <c r="J138" s="1">
        <v>45497</v>
      </c>
      <c r="K138">
        <v>10800</v>
      </c>
      <c r="L138" t="str">
        <f t="shared" si="2"/>
        <v>Jul</v>
      </c>
      <c r="M138">
        <f>Table1[[#This Row],[Discharge_Date]]-Table1[[#This Row],[Admission_Date]]</f>
        <v>6</v>
      </c>
    </row>
    <row r="139" spans="1:13" x14ac:dyDescent="0.3">
      <c r="A139">
        <v>238</v>
      </c>
      <c r="B139">
        <v>31</v>
      </c>
      <c r="C139" t="s">
        <v>17</v>
      </c>
      <c r="D139" t="s">
        <v>12</v>
      </c>
      <c r="E139" t="s">
        <v>30</v>
      </c>
      <c r="F139" t="s">
        <v>31</v>
      </c>
      <c r="G139" t="s">
        <v>15</v>
      </c>
      <c r="H139" t="s">
        <v>34</v>
      </c>
      <c r="I139" s="1">
        <v>45492</v>
      </c>
      <c r="J139" s="1">
        <v>45492</v>
      </c>
      <c r="K139">
        <v>1800</v>
      </c>
      <c r="L139" t="str">
        <f t="shared" si="2"/>
        <v>Jul</v>
      </c>
      <c r="M139">
        <f>Table1[[#This Row],[Discharge_Date]]-Table1[[#This Row],[Admission_Date]]</f>
        <v>0</v>
      </c>
    </row>
    <row r="140" spans="1:13" x14ac:dyDescent="0.3">
      <c r="A140">
        <v>239</v>
      </c>
      <c r="B140">
        <v>55</v>
      </c>
      <c r="C140" t="s">
        <v>11</v>
      </c>
      <c r="D140" t="s">
        <v>28</v>
      </c>
      <c r="E140" t="s">
        <v>19</v>
      </c>
      <c r="F140" t="s">
        <v>20</v>
      </c>
      <c r="G140" t="s">
        <v>21</v>
      </c>
      <c r="H140" t="s">
        <v>29</v>
      </c>
      <c r="I140" s="1">
        <v>45493</v>
      </c>
      <c r="J140" s="1">
        <v>45499</v>
      </c>
      <c r="K140">
        <v>14500</v>
      </c>
      <c r="L140" t="str">
        <f t="shared" si="2"/>
        <v>Jul</v>
      </c>
      <c r="M140">
        <f>Table1[[#This Row],[Discharge_Date]]-Table1[[#This Row],[Admission_Date]]</f>
        <v>6</v>
      </c>
    </row>
    <row r="141" spans="1:13" x14ac:dyDescent="0.3">
      <c r="A141">
        <v>240</v>
      </c>
      <c r="B141">
        <v>36</v>
      </c>
      <c r="C141" t="s">
        <v>17</v>
      </c>
      <c r="D141" t="s">
        <v>18</v>
      </c>
      <c r="E141" t="s">
        <v>13</v>
      </c>
      <c r="F141" t="s">
        <v>14</v>
      </c>
      <c r="G141" t="s">
        <v>15</v>
      </c>
      <c r="H141" t="s">
        <v>35</v>
      </c>
      <c r="I141" s="1">
        <v>45494</v>
      </c>
      <c r="J141" s="1">
        <v>45494</v>
      </c>
      <c r="K141">
        <v>2900</v>
      </c>
      <c r="L141" t="str">
        <f t="shared" si="2"/>
        <v>Jul</v>
      </c>
      <c r="M141">
        <f>Table1[[#This Row],[Discharge_Date]]-Table1[[#This Row],[Admission_Date]]</f>
        <v>0</v>
      </c>
    </row>
    <row r="142" spans="1:13" x14ac:dyDescent="0.3">
      <c r="A142">
        <v>241</v>
      </c>
      <c r="B142">
        <v>47</v>
      </c>
      <c r="C142" t="s">
        <v>11</v>
      </c>
      <c r="D142" t="s">
        <v>12</v>
      </c>
      <c r="E142" t="s">
        <v>24</v>
      </c>
      <c r="F142" t="s">
        <v>25</v>
      </c>
      <c r="G142" t="s">
        <v>15</v>
      </c>
      <c r="H142" t="s">
        <v>33</v>
      </c>
      <c r="I142" s="1">
        <v>45495</v>
      </c>
      <c r="J142" s="1">
        <v>45495</v>
      </c>
      <c r="K142">
        <v>3500</v>
      </c>
      <c r="L142" t="str">
        <f t="shared" si="2"/>
        <v>Jul</v>
      </c>
      <c r="M142">
        <f>Table1[[#This Row],[Discharge_Date]]-Table1[[#This Row],[Admission_Date]]</f>
        <v>0</v>
      </c>
    </row>
    <row r="143" spans="1:13" x14ac:dyDescent="0.3">
      <c r="A143">
        <v>242</v>
      </c>
      <c r="B143">
        <v>32</v>
      </c>
      <c r="C143" t="s">
        <v>17</v>
      </c>
      <c r="D143" t="s">
        <v>18</v>
      </c>
      <c r="E143" t="s">
        <v>30</v>
      </c>
      <c r="F143" t="s">
        <v>31</v>
      </c>
      <c r="G143" t="s">
        <v>15</v>
      </c>
      <c r="H143" t="s">
        <v>32</v>
      </c>
      <c r="I143" s="1">
        <v>45496</v>
      </c>
      <c r="J143" s="1">
        <v>45496</v>
      </c>
      <c r="K143">
        <v>1700</v>
      </c>
      <c r="L143" t="str">
        <f t="shared" si="2"/>
        <v>Jul</v>
      </c>
      <c r="M143">
        <f>Table1[[#This Row],[Discharge_Date]]-Table1[[#This Row],[Admission_Date]]</f>
        <v>0</v>
      </c>
    </row>
    <row r="144" spans="1:13" x14ac:dyDescent="0.3">
      <c r="A144">
        <v>243</v>
      </c>
      <c r="B144">
        <v>59</v>
      </c>
      <c r="C144" t="s">
        <v>11</v>
      </c>
      <c r="D144" t="s">
        <v>23</v>
      </c>
      <c r="E144" t="s">
        <v>19</v>
      </c>
      <c r="F144" t="s">
        <v>20</v>
      </c>
      <c r="G144" t="s">
        <v>21</v>
      </c>
      <c r="H144" t="s">
        <v>29</v>
      </c>
      <c r="I144" s="1">
        <v>45497</v>
      </c>
      <c r="J144" s="1">
        <v>45503</v>
      </c>
      <c r="K144">
        <v>15500</v>
      </c>
      <c r="L144" t="str">
        <f t="shared" si="2"/>
        <v>Jul</v>
      </c>
      <c r="M144">
        <f>Table1[[#This Row],[Discharge_Date]]-Table1[[#This Row],[Admission_Date]]</f>
        <v>6</v>
      </c>
    </row>
    <row r="145" spans="1:13" x14ac:dyDescent="0.3">
      <c r="A145">
        <v>244</v>
      </c>
      <c r="B145">
        <v>38</v>
      </c>
      <c r="C145" t="s">
        <v>17</v>
      </c>
      <c r="D145" t="s">
        <v>28</v>
      </c>
      <c r="E145" t="s">
        <v>13</v>
      </c>
      <c r="F145" t="s">
        <v>14</v>
      </c>
      <c r="G145" t="s">
        <v>15</v>
      </c>
      <c r="H145" t="s">
        <v>16</v>
      </c>
      <c r="I145" s="1">
        <v>45498</v>
      </c>
      <c r="J145" s="1">
        <v>45498</v>
      </c>
      <c r="K145">
        <v>2700</v>
      </c>
      <c r="L145" t="str">
        <f t="shared" si="2"/>
        <v>Jul</v>
      </c>
      <c r="M145">
        <f>Table1[[#This Row],[Discharge_Date]]-Table1[[#This Row],[Admission_Date]]</f>
        <v>0</v>
      </c>
    </row>
    <row r="146" spans="1:13" x14ac:dyDescent="0.3">
      <c r="A146">
        <v>245</v>
      </c>
      <c r="B146">
        <v>49</v>
      </c>
      <c r="C146" t="s">
        <v>11</v>
      </c>
      <c r="D146" t="s">
        <v>12</v>
      </c>
      <c r="E146" t="s">
        <v>24</v>
      </c>
      <c r="F146" t="s">
        <v>25</v>
      </c>
      <c r="G146" t="s">
        <v>21</v>
      </c>
      <c r="H146" t="s">
        <v>26</v>
      </c>
      <c r="I146" s="1">
        <v>45499</v>
      </c>
      <c r="J146" s="1">
        <v>45505</v>
      </c>
      <c r="K146">
        <v>11000</v>
      </c>
      <c r="L146" t="str">
        <f t="shared" si="2"/>
        <v>Jul</v>
      </c>
      <c r="M146">
        <f>Table1[[#This Row],[Discharge_Date]]-Table1[[#This Row],[Admission_Date]]</f>
        <v>6</v>
      </c>
    </row>
    <row r="147" spans="1:13" x14ac:dyDescent="0.3">
      <c r="A147">
        <v>246</v>
      </c>
      <c r="B147">
        <v>33</v>
      </c>
      <c r="C147" t="s">
        <v>17</v>
      </c>
      <c r="D147" t="s">
        <v>18</v>
      </c>
      <c r="E147" t="s">
        <v>13</v>
      </c>
      <c r="F147" t="s">
        <v>14</v>
      </c>
      <c r="G147" t="s">
        <v>15</v>
      </c>
      <c r="H147" t="s">
        <v>35</v>
      </c>
      <c r="I147" s="1">
        <v>45500</v>
      </c>
      <c r="J147" s="1">
        <v>45500</v>
      </c>
      <c r="K147">
        <v>3000</v>
      </c>
      <c r="L147" t="str">
        <f t="shared" si="2"/>
        <v>Jul</v>
      </c>
      <c r="M147">
        <f>Table1[[#This Row],[Discharge_Date]]-Table1[[#This Row],[Admission_Date]]</f>
        <v>0</v>
      </c>
    </row>
    <row r="148" spans="1:13" x14ac:dyDescent="0.3">
      <c r="A148">
        <v>247</v>
      </c>
      <c r="B148">
        <v>44</v>
      </c>
      <c r="C148" t="s">
        <v>11</v>
      </c>
      <c r="D148" t="s">
        <v>23</v>
      </c>
      <c r="E148" t="s">
        <v>19</v>
      </c>
      <c r="F148" t="s">
        <v>20</v>
      </c>
      <c r="G148" t="s">
        <v>15</v>
      </c>
      <c r="H148" t="s">
        <v>22</v>
      </c>
      <c r="I148" s="1">
        <v>45501</v>
      </c>
      <c r="J148" s="1">
        <v>45501</v>
      </c>
      <c r="K148">
        <v>3800</v>
      </c>
      <c r="L148" t="str">
        <f t="shared" si="2"/>
        <v>Jul</v>
      </c>
      <c r="M148">
        <f>Table1[[#This Row],[Discharge_Date]]-Table1[[#This Row],[Admission_Date]]</f>
        <v>0</v>
      </c>
    </row>
    <row r="149" spans="1:13" x14ac:dyDescent="0.3">
      <c r="A149">
        <v>248</v>
      </c>
      <c r="B149">
        <v>30</v>
      </c>
      <c r="C149" t="s">
        <v>17</v>
      </c>
      <c r="D149" t="s">
        <v>12</v>
      </c>
      <c r="E149" t="s">
        <v>30</v>
      </c>
      <c r="F149" t="s">
        <v>31</v>
      </c>
      <c r="G149" t="s">
        <v>15</v>
      </c>
      <c r="H149" t="s">
        <v>34</v>
      </c>
      <c r="I149" s="1">
        <v>45502</v>
      </c>
      <c r="J149" s="1">
        <v>45502</v>
      </c>
      <c r="K149">
        <v>1900</v>
      </c>
      <c r="L149" t="str">
        <f t="shared" si="2"/>
        <v>Jul</v>
      </c>
      <c r="M149">
        <f>Table1[[#This Row],[Discharge_Date]]-Table1[[#This Row],[Admission_Date]]</f>
        <v>0</v>
      </c>
    </row>
    <row r="150" spans="1:13" x14ac:dyDescent="0.3">
      <c r="A150">
        <v>249</v>
      </c>
      <c r="B150">
        <v>57</v>
      </c>
      <c r="C150" t="s">
        <v>11</v>
      </c>
      <c r="D150" t="s">
        <v>28</v>
      </c>
      <c r="E150" t="s">
        <v>13</v>
      </c>
      <c r="F150" t="s">
        <v>14</v>
      </c>
      <c r="G150" t="s">
        <v>21</v>
      </c>
      <c r="H150" t="s">
        <v>27</v>
      </c>
      <c r="I150" s="1">
        <v>45503</v>
      </c>
      <c r="J150" s="1">
        <v>45509</v>
      </c>
      <c r="K150">
        <v>15000</v>
      </c>
      <c r="L150" t="str">
        <f t="shared" si="2"/>
        <v>Jul</v>
      </c>
      <c r="M150">
        <f>Table1[[#This Row],[Discharge_Date]]-Table1[[#This Row],[Admission_Date]]</f>
        <v>6</v>
      </c>
    </row>
    <row r="151" spans="1:13" x14ac:dyDescent="0.3">
      <c r="A151">
        <v>250</v>
      </c>
      <c r="B151">
        <v>40</v>
      </c>
      <c r="C151" t="s">
        <v>17</v>
      </c>
      <c r="D151" t="s">
        <v>18</v>
      </c>
      <c r="E151" t="s">
        <v>24</v>
      </c>
      <c r="F151" t="s">
        <v>25</v>
      </c>
      <c r="G151" t="s">
        <v>15</v>
      </c>
      <c r="H151" t="s">
        <v>39</v>
      </c>
      <c r="I151" s="1">
        <v>45504</v>
      </c>
      <c r="J151" s="1">
        <v>45504</v>
      </c>
      <c r="K151">
        <v>3400</v>
      </c>
      <c r="L151" t="str">
        <f t="shared" si="2"/>
        <v>Jul</v>
      </c>
      <c r="M151">
        <f>Table1[[#This Row],[Discharge_Date]]-Table1[[#This Row],[Admission_Date]]</f>
        <v>0</v>
      </c>
    </row>
    <row r="152" spans="1:13" x14ac:dyDescent="0.3">
      <c r="A152">
        <v>251</v>
      </c>
      <c r="B152">
        <v>52</v>
      </c>
      <c r="C152" t="s">
        <v>11</v>
      </c>
      <c r="D152" t="s">
        <v>12</v>
      </c>
      <c r="E152" t="s">
        <v>19</v>
      </c>
      <c r="F152" t="s">
        <v>20</v>
      </c>
      <c r="G152" t="s">
        <v>21</v>
      </c>
      <c r="H152" t="s">
        <v>36</v>
      </c>
      <c r="I152" s="1">
        <v>45505</v>
      </c>
      <c r="J152" s="1">
        <v>45511</v>
      </c>
      <c r="K152">
        <v>13500</v>
      </c>
      <c r="L152" t="str">
        <f t="shared" si="2"/>
        <v>Aug</v>
      </c>
      <c r="M152">
        <f>Table1[[#This Row],[Discharge_Date]]-Table1[[#This Row],[Admission_Date]]</f>
        <v>6</v>
      </c>
    </row>
    <row r="153" spans="1:13" x14ac:dyDescent="0.3">
      <c r="A153">
        <v>252</v>
      </c>
      <c r="B153">
        <v>35</v>
      </c>
      <c r="C153" t="s">
        <v>17</v>
      </c>
      <c r="D153" t="s">
        <v>23</v>
      </c>
      <c r="E153" t="s">
        <v>13</v>
      </c>
      <c r="F153" t="s">
        <v>14</v>
      </c>
      <c r="G153" t="s">
        <v>15</v>
      </c>
      <c r="H153" t="s">
        <v>40</v>
      </c>
      <c r="I153" s="1">
        <v>45506</v>
      </c>
      <c r="J153" s="1">
        <v>45506</v>
      </c>
      <c r="K153">
        <v>3200</v>
      </c>
      <c r="L153" t="str">
        <f t="shared" si="2"/>
        <v>Aug</v>
      </c>
      <c r="M153">
        <f>Table1[[#This Row],[Discharge_Date]]-Table1[[#This Row],[Admission_Date]]</f>
        <v>0</v>
      </c>
    </row>
    <row r="154" spans="1:13" x14ac:dyDescent="0.3">
      <c r="A154">
        <v>253</v>
      </c>
      <c r="B154">
        <v>60</v>
      </c>
      <c r="C154" t="s">
        <v>11</v>
      </c>
      <c r="D154" t="s">
        <v>28</v>
      </c>
      <c r="E154" t="s">
        <v>24</v>
      </c>
      <c r="F154" t="s">
        <v>25</v>
      </c>
      <c r="G154" t="s">
        <v>21</v>
      </c>
      <c r="H154" t="s">
        <v>33</v>
      </c>
      <c r="I154" s="1">
        <v>45507</v>
      </c>
      <c r="J154" s="1">
        <v>45513</v>
      </c>
      <c r="K154">
        <v>11000</v>
      </c>
      <c r="L154" t="str">
        <f t="shared" si="2"/>
        <v>Aug</v>
      </c>
      <c r="M154">
        <f>Table1[[#This Row],[Discharge_Date]]-Table1[[#This Row],[Admission_Date]]</f>
        <v>6</v>
      </c>
    </row>
    <row r="155" spans="1:13" x14ac:dyDescent="0.3">
      <c r="A155">
        <v>254</v>
      </c>
      <c r="B155">
        <v>29</v>
      </c>
      <c r="C155" t="s">
        <v>17</v>
      </c>
      <c r="D155" t="s">
        <v>12</v>
      </c>
      <c r="E155" t="s">
        <v>30</v>
      </c>
      <c r="F155" t="s">
        <v>31</v>
      </c>
      <c r="G155" t="s">
        <v>15</v>
      </c>
      <c r="H155" t="s">
        <v>38</v>
      </c>
      <c r="I155" s="1">
        <v>45508</v>
      </c>
      <c r="J155" s="1">
        <v>45508</v>
      </c>
      <c r="K155">
        <v>1600</v>
      </c>
      <c r="L155" t="str">
        <f t="shared" si="2"/>
        <v>Aug</v>
      </c>
      <c r="M155">
        <f>Table1[[#This Row],[Discharge_Date]]-Table1[[#This Row],[Admission_Date]]</f>
        <v>0</v>
      </c>
    </row>
    <row r="156" spans="1:13" x14ac:dyDescent="0.3">
      <c r="A156">
        <v>255</v>
      </c>
      <c r="B156">
        <v>48</v>
      </c>
      <c r="C156" t="s">
        <v>11</v>
      </c>
      <c r="D156" t="s">
        <v>18</v>
      </c>
      <c r="E156" t="s">
        <v>13</v>
      </c>
      <c r="F156" t="s">
        <v>14</v>
      </c>
      <c r="G156" t="s">
        <v>15</v>
      </c>
      <c r="H156" t="s">
        <v>16</v>
      </c>
      <c r="I156" s="1">
        <v>45509</v>
      </c>
      <c r="J156" s="1">
        <v>45509</v>
      </c>
      <c r="K156">
        <v>2800</v>
      </c>
      <c r="L156" t="str">
        <f t="shared" si="2"/>
        <v>Aug</v>
      </c>
      <c r="M156">
        <f>Table1[[#This Row],[Discharge_Date]]-Table1[[#This Row],[Admission_Date]]</f>
        <v>0</v>
      </c>
    </row>
    <row r="157" spans="1:13" x14ac:dyDescent="0.3">
      <c r="A157">
        <v>256</v>
      </c>
      <c r="B157">
        <v>41</v>
      </c>
      <c r="C157" t="s">
        <v>17</v>
      </c>
      <c r="D157" t="s">
        <v>23</v>
      </c>
      <c r="E157" t="s">
        <v>19</v>
      </c>
      <c r="F157" t="s">
        <v>20</v>
      </c>
      <c r="G157" t="s">
        <v>21</v>
      </c>
      <c r="H157" t="s">
        <v>22</v>
      </c>
      <c r="I157" s="1">
        <v>45510</v>
      </c>
      <c r="J157" s="1">
        <v>45515</v>
      </c>
      <c r="K157">
        <v>9800</v>
      </c>
      <c r="L157" t="str">
        <f t="shared" si="2"/>
        <v>Aug</v>
      </c>
      <c r="M157">
        <f>Table1[[#This Row],[Discharge_Date]]-Table1[[#This Row],[Admission_Date]]</f>
        <v>5</v>
      </c>
    </row>
    <row r="158" spans="1:13" x14ac:dyDescent="0.3">
      <c r="A158">
        <v>257</v>
      </c>
      <c r="B158">
        <v>54</v>
      </c>
      <c r="C158" t="s">
        <v>11</v>
      </c>
      <c r="D158" t="s">
        <v>12</v>
      </c>
      <c r="E158" t="s">
        <v>24</v>
      </c>
      <c r="F158" t="s">
        <v>25</v>
      </c>
      <c r="G158" t="s">
        <v>15</v>
      </c>
      <c r="H158" t="s">
        <v>39</v>
      </c>
      <c r="I158" s="1">
        <v>45511</v>
      </c>
      <c r="J158" s="1">
        <v>45511</v>
      </c>
      <c r="K158">
        <v>3600</v>
      </c>
      <c r="L158" t="str">
        <f t="shared" si="2"/>
        <v>Aug</v>
      </c>
      <c r="M158">
        <f>Table1[[#This Row],[Discharge_Date]]-Table1[[#This Row],[Admission_Date]]</f>
        <v>0</v>
      </c>
    </row>
    <row r="159" spans="1:13" x14ac:dyDescent="0.3">
      <c r="A159">
        <v>258</v>
      </c>
      <c r="B159">
        <v>37</v>
      </c>
      <c r="C159" t="s">
        <v>17</v>
      </c>
      <c r="D159" t="s">
        <v>28</v>
      </c>
      <c r="E159" t="s">
        <v>13</v>
      </c>
      <c r="F159" t="s">
        <v>14</v>
      </c>
      <c r="G159" t="s">
        <v>15</v>
      </c>
      <c r="H159" t="s">
        <v>35</v>
      </c>
      <c r="I159" s="1">
        <v>45512</v>
      </c>
      <c r="J159" s="1">
        <v>45512</v>
      </c>
      <c r="K159">
        <v>3000</v>
      </c>
      <c r="L159" t="str">
        <f t="shared" si="2"/>
        <v>Aug</v>
      </c>
      <c r="M159">
        <f>Table1[[#This Row],[Discharge_Date]]-Table1[[#This Row],[Admission_Date]]</f>
        <v>0</v>
      </c>
    </row>
    <row r="160" spans="1:13" x14ac:dyDescent="0.3">
      <c r="A160">
        <v>259</v>
      </c>
      <c r="B160">
        <v>62</v>
      </c>
      <c r="C160" t="s">
        <v>11</v>
      </c>
      <c r="D160" t="s">
        <v>18</v>
      </c>
      <c r="E160" t="s">
        <v>19</v>
      </c>
      <c r="F160" t="s">
        <v>20</v>
      </c>
      <c r="G160" t="s">
        <v>21</v>
      </c>
      <c r="H160" t="s">
        <v>41</v>
      </c>
      <c r="I160" s="1">
        <v>45513</v>
      </c>
      <c r="J160" s="1">
        <v>45519</v>
      </c>
      <c r="K160">
        <v>16000</v>
      </c>
      <c r="L160" t="str">
        <f t="shared" si="2"/>
        <v>Aug</v>
      </c>
      <c r="M160">
        <f>Table1[[#This Row],[Discharge_Date]]-Table1[[#This Row],[Admission_Date]]</f>
        <v>6</v>
      </c>
    </row>
    <row r="161" spans="1:13" x14ac:dyDescent="0.3">
      <c r="A161">
        <v>260</v>
      </c>
      <c r="B161">
        <v>31</v>
      </c>
      <c r="C161" t="s">
        <v>17</v>
      </c>
      <c r="D161" t="s">
        <v>12</v>
      </c>
      <c r="E161" t="s">
        <v>30</v>
      </c>
      <c r="F161" t="s">
        <v>31</v>
      </c>
      <c r="G161" t="s">
        <v>15</v>
      </c>
      <c r="H161" t="s">
        <v>34</v>
      </c>
      <c r="I161" s="1">
        <v>45514</v>
      </c>
      <c r="J161" s="1">
        <v>45514</v>
      </c>
      <c r="K161">
        <v>1900</v>
      </c>
      <c r="L161" t="str">
        <f t="shared" si="2"/>
        <v>Aug</v>
      </c>
      <c r="M161">
        <f>Table1[[#This Row],[Discharge_Date]]-Table1[[#This Row],[Admission_Date]]</f>
        <v>0</v>
      </c>
    </row>
    <row r="162" spans="1:13" x14ac:dyDescent="0.3">
      <c r="A162">
        <v>261</v>
      </c>
      <c r="B162">
        <v>50</v>
      </c>
      <c r="C162" t="s">
        <v>11</v>
      </c>
      <c r="D162" t="s">
        <v>12</v>
      </c>
      <c r="E162" t="s">
        <v>13</v>
      </c>
      <c r="F162" t="s">
        <v>14</v>
      </c>
      <c r="G162" t="s">
        <v>15</v>
      </c>
      <c r="H162" t="s">
        <v>16</v>
      </c>
      <c r="I162" s="1">
        <v>45515</v>
      </c>
      <c r="J162" s="1">
        <v>45515</v>
      </c>
      <c r="K162">
        <v>2900</v>
      </c>
      <c r="L162" t="str">
        <f t="shared" si="2"/>
        <v>Aug</v>
      </c>
      <c r="M162">
        <f>Table1[[#This Row],[Discharge_Date]]-Table1[[#This Row],[Admission_Date]]</f>
        <v>0</v>
      </c>
    </row>
    <row r="163" spans="1:13" x14ac:dyDescent="0.3">
      <c r="A163">
        <v>262</v>
      </c>
      <c r="B163">
        <v>36</v>
      </c>
      <c r="C163" t="s">
        <v>17</v>
      </c>
      <c r="D163" t="s">
        <v>18</v>
      </c>
      <c r="E163" t="s">
        <v>19</v>
      </c>
      <c r="F163" t="s">
        <v>20</v>
      </c>
      <c r="G163" t="s">
        <v>21</v>
      </c>
      <c r="H163" t="s">
        <v>22</v>
      </c>
      <c r="I163" s="1">
        <v>45516</v>
      </c>
      <c r="J163" s="1">
        <v>45521</v>
      </c>
      <c r="K163">
        <v>10000</v>
      </c>
      <c r="L163" t="str">
        <f t="shared" si="2"/>
        <v>Aug</v>
      </c>
      <c r="M163">
        <f>Table1[[#This Row],[Discharge_Date]]-Table1[[#This Row],[Admission_Date]]</f>
        <v>5</v>
      </c>
    </row>
    <row r="164" spans="1:13" x14ac:dyDescent="0.3">
      <c r="A164">
        <v>263</v>
      </c>
      <c r="B164">
        <v>53</v>
      </c>
      <c r="C164" t="s">
        <v>11</v>
      </c>
      <c r="D164" t="s">
        <v>23</v>
      </c>
      <c r="E164" t="s">
        <v>24</v>
      </c>
      <c r="F164" t="s">
        <v>25</v>
      </c>
      <c r="G164" t="s">
        <v>15</v>
      </c>
      <c r="H164" t="s">
        <v>33</v>
      </c>
      <c r="I164" s="1">
        <v>45517</v>
      </c>
      <c r="J164" s="1">
        <v>45517</v>
      </c>
      <c r="K164">
        <v>3700</v>
      </c>
      <c r="L164" t="str">
        <f t="shared" si="2"/>
        <v>Aug</v>
      </c>
      <c r="M164">
        <f>Table1[[#This Row],[Discharge_Date]]-Table1[[#This Row],[Admission_Date]]</f>
        <v>0</v>
      </c>
    </row>
    <row r="165" spans="1:13" x14ac:dyDescent="0.3">
      <c r="A165">
        <v>264</v>
      </c>
      <c r="B165">
        <v>31</v>
      </c>
      <c r="C165" t="s">
        <v>17</v>
      </c>
      <c r="D165" t="s">
        <v>28</v>
      </c>
      <c r="E165" t="s">
        <v>30</v>
      </c>
      <c r="F165" t="s">
        <v>31</v>
      </c>
      <c r="G165" t="s">
        <v>15</v>
      </c>
      <c r="H165" t="s">
        <v>32</v>
      </c>
      <c r="I165" s="1">
        <v>45518</v>
      </c>
      <c r="J165" s="1">
        <v>45518</v>
      </c>
      <c r="K165">
        <v>1800</v>
      </c>
      <c r="L165" t="str">
        <f t="shared" si="2"/>
        <v>Aug</v>
      </c>
      <c r="M165">
        <f>Table1[[#This Row],[Discharge_Date]]-Table1[[#This Row],[Admission_Date]]</f>
        <v>0</v>
      </c>
    </row>
    <row r="166" spans="1:13" x14ac:dyDescent="0.3">
      <c r="A166">
        <v>265</v>
      </c>
      <c r="B166">
        <v>59</v>
      </c>
      <c r="C166" t="s">
        <v>11</v>
      </c>
      <c r="D166" t="s">
        <v>12</v>
      </c>
      <c r="E166" t="s">
        <v>13</v>
      </c>
      <c r="F166" t="s">
        <v>14</v>
      </c>
      <c r="G166" t="s">
        <v>21</v>
      </c>
      <c r="H166" t="s">
        <v>27</v>
      </c>
      <c r="I166" s="1">
        <v>45519</v>
      </c>
      <c r="J166" s="1">
        <v>45525</v>
      </c>
      <c r="K166">
        <v>15500</v>
      </c>
      <c r="L166" t="str">
        <f t="shared" si="2"/>
        <v>Aug</v>
      </c>
      <c r="M166">
        <f>Table1[[#This Row],[Discharge_Date]]-Table1[[#This Row],[Admission_Date]]</f>
        <v>6</v>
      </c>
    </row>
    <row r="167" spans="1:13" x14ac:dyDescent="0.3">
      <c r="A167">
        <v>266</v>
      </c>
      <c r="B167">
        <v>43</v>
      </c>
      <c r="C167" t="s">
        <v>17</v>
      </c>
      <c r="D167" t="s">
        <v>18</v>
      </c>
      <c r="E167" t="s">
        <v>19</v>
      </c>
      <c r="F167" t="s">
        <v>20</v>
      </c>
      <c r="G167" t="s">
        <v>15</v>
      </c>
      <c r="H167" t="s">
        <v>22</v>
      </c>
      <c r="I167" s="1">
        <v>45520</v>
      </c>
      <c r="J167" s="1">
        <v>45520</v>
      </c>
      <c r="K167">
        <v>3900</v>
      </c>
      <c r="L167" t="str">
        <f t="shared" si="2"/>
        <v>Aug</v>
      </c>
      <c r="M167">
        <f>Table1[[#This Row],[Discharge_Date]]-Table1[[#This Row],[Admission_Date]]</f>
        <v>0</v>
      </c>
    </row>
    <row r="168" spans="1:13" x14ac:dyDescent="0.3">
      <c r="A168">
        <v>267</v>
      </c>
      <c r="B168">
        <v>48</v>
      </c>
      <c r="C168" t="s">
        <v>11</v>
      </c>
      <c r="D168" t="s">
        <v>23</v>
      </c>
      <c r="E168" t="s">
        <v>24</v>
      </c>
      <c r="F168" t="s">
        <v>25</v>
      </c>
      <c r="G168" t="s">
        <v>21</v>
      </c>
      <c r="H168" t="s">
        <v>26</v>
      </c>
      <c r="I168" s="1">
        <v>45521</v>
      </c>
      <c r="J168" s="1">
        <v>45527</v>
      </c>
      <c r="K168">
        <v>11000</v>
      </c>
      <c r="L168" t="str">
        <f t="shared" si="2"/>
        <v>Aug</v>
      </c>
      <c r="M168">
        <f>Table1[[#This Row],[Discharge_Date]]-Table1[[#This Row],[Admission_Date]]</f>
        <v>6</v>
      </c>
    </row>
    <row r="169" spans="1:13" x14ac:dyDescent="0.3">
      <c r="A169">
        <v>268</v>
      </c>
      <c r="B169">
        <v>30</v>
      </c>
      <c r="C169" t="s">
        <v>17</v>
      </c>
      <c r="D169" t="s">
        <v>12</v>
      </c>
      <c r="E169" t="s">
        <v>30</v>
      </c>
      <c r="F169" t="s">
        <v>31</v>
      </c>
      <c r="G169" t="s">
        <v>15</v>
      </c>
      <c r="H169" t="s">
        <v>34</v>
      </c>
      <c r="I169" s="1">
        <v>45522</v>
      </c>
      <c r="J169" s="1">
        <v>45522</v>
      </c>
      <c r="K169">
        <v>1900</v>
      </c>
      <c r="L169" t="str">
        <f t="shared" si="2"/>
        <v>Aug</v>
      </c>
      <c r="M169">
        <f>Table1[[#This Row],[Discharge_Date]]-Table1[[#This Row],[Admission_Date]]</f>
        <v>0</v>
      </c>
    </row>
    <row r="170" spans="1:13" x14ac:dyDescent="0.3">
      <c r="A170">
        <v>269</v>
      </c>
      <c r="B170">
        <v>57</v>
      </c>
      <c r="C170" t="s">
        <v>11</v>
      </c>
      <c r="D170" t="s">
        <v>28</v>
      </c>
      <c r="E170" t="s">
        <v>13</v>
      </c>
      <c r="F170" t="s">
        <v>14</v>
      </c>
      <c r="G170" t="s">
        <v>15</v>
      </c>
      <c r="H170" t="s">
        <v>35</v>
      </c>
      <c r="I170" s="1">
        <v>45523</v>
      </c>
      <c r="J170" s="1">
        <v>45523</v>
      </c>
      <c r="K170">
        <v>3100</v>
      </c>
      <c r="L170" t="str">
        <f t="shared" si="2"/>
        <v>Aug</v>
      </c>
      <c r="M170">
        <f>Table1[[#This Row],[Discharge_Date]]-Table1[[#This Row],[Admission_Date]]</f>
        <v>0</v>
      </c>
    </row>
    <row r="171" spans="1:13" x14ac:dyDescent="0.3">
      <c r="A171">
        <v>270</v>
      </c>
      <c r="B171">
        <v>34</v>
      </c>
      <c r="C171" t="s">
        <v>17</v>
      </c>
      <c r="D171" t="s">
        <v>18</v>
      </c>
      <c r="E171" t="s">
        <v>19</v>
      </c>
      <c r="F171" t="s">
        <v>20</v>
      </c>
      <c r="G171" t="s">
        <v>21</v>
      </c>
      <c r="H171" t="s">
        <v>36</v>
      </c>
      <c r="I171" s="1">
        <v>45524</v>
      </c>
      <c r="J171" s="1">
        <v>45529</v>
      </c>
      <c r="K171">
        <v>12000</v>
      </c>
      <c r="L171" t="str">
        <f t="shared" si="2"/>
        <v>Aug</v>
      </c>
      <c r="M171">
        <f>Table1[[#This Row],[Discharge_Date]]-Table1[[#This Row],[Admission_Date]]</f>
        <v>5</v>
      </c>
    </row>
    <row r="172" spans="1:13" x14ac:dyDescent="0.3">
      <c r="A172">
        <v>271</v>
      </c>
      <c r="B172">
        <v>64</v>
      </c>
      <c r="C172" t="s">
        <v>11</v>
      </c>
      <c r="D172" t="s">
        <v>12</v>
      </c>
      <c r="E172" t="s">
        <v>13</v>
      </c>
      <c r="F172" t="s">
        <v>14</v>
      </c>
      <c r="G172" t="s">
        <v>21</v>
      </c>
      <c r="H172" t="s">
        <v>37</v>
      </c>
      <c r="I172" s="1">
        <v>45525</v>
      </c>
      <c r="J172" s="1">
        <v>45532</v>
      </c>
      <c r="K172">
        <v>17000</v>
      </c>
      <c r="L172" t="str">
        <f t="shared" si="2"/>
        <v>Aug</v>
      </c>
      <c r="M172">
        <f>Table1[[#This Row],[Discharge_Date]]-Table1[[#This Row],[Admission_Date]]</f>
        <v>7</v>
      </c>
    </row>
    <row r="173" spans="1:13" x14ac:dyDescent="0.3">
      <c r="A173">
        <v>272</v>
      </c>
      <c r="B173">
        <v>38</v>
      </c>
      <c r="C173" t="s">
        <v>17</v>
      </c>
      <c r="D173" t="s">
        <v>23</v>
      </c>
      <c r="E173" t="s">
        <v>30</v>
      </c>
      <c r="F173" t="s">
        <v>31</v>
      </c>
      <c r="G173" t="s">
        <v>15</v>
      </c>
      <c r="H173" t="s">
        <v>38</v>
      </c>
      <c r="I173" s="1">
        <v>45526</v>
      </c>
      <c r="J173" s="1">
        <v>45526</v>
      </c>
      <c r="K173">
        <v>1600</v>
      </c>
      <c r="L173" t="str">
        <f t="shared" si="2"/>
        <v>Aug</v>
      </c>
      <c r="M173">
        <f>Table1[[#This Row],[Discharge_Date]]-Table1[[#This Row],[Admission_Date]]</f>
        <v>0</v>
      </c>
    </row>
    <row r="174" spans="1:13" x14ac:dyDescent="0.3">
      <c r="A174">
        <v>273</v>
      </c>
      <c r="B174">
        <v>46</v>
      </c>
      <c r="C174" t="s">
        <v>11</v>
      </c>
      <c r="D174" t="s">
        <v>18</v>
      </c>
      <c r="E174" t="s">
        <v>24</v>
      </c>
      <c r="F174" t="s">
        <v>25</v>
      </c>
      <c r="G174" t="s">
        <v>15</v>
      </c>
      <c r="H174" t="s">
        <v>39</v>
      </c>
      <c r="I174" s="1">
        <v>45527</v>
      </c>
      <c r="J174" s="1">
        <v>45527</v>
      </c>
      <c r="K174">
        <v>3400</v>
      </c>
      <c r="L174" t="str">
        <f t="shared" si="2"/>
        <v>Aug</v>
      </c>
      <c r="M174">
        <f>Table1[[#This Row],[Discharge_Date]]-Table1[[#This Row],[Admission_Date]]</f>
        <v>0</v>
      </c>
    </row>
    <row r="175" spans="1:13" x14ac:dyDescent="0.3">
      <c r="A175">
        <v>274</v>
      </c>
      <c r="B175">
        <v>29</v>
      </c>
      <c r="C175" t="s">
        <v>17</v>
      </c>
      <c r="D175" t="s">
        <v>28</v>
      </c>
      <c r="E175" t="s">
        <v>13</v>
      </c>
      <c r="F175" t="s">
        <v>14</v>
      </c>
      <c r="G175" t="s">
        <v>15</v>
      </c>
      <c r="H175" t="s">
        <v>40</v>
      </c>
      <c r="I175" s="1">
        <v>45528</v>
      </c>
      <c r="J175" s="1">
        <v>45528</v>
      </c>
      <c r="K175">
        <v>3200</v>
      </c>
      <c r="L175" t="str">
        <f t="shared" si="2"/>
        <v>Aug</v>
      </c>
      <c r="M175">
        <f>Table1[[#This Row],[Discharge_Date]]-Table1[[#This Row],[Admission_Date]]</f>
        <v>0</v>
      </c>
    </row>
    <row r="176" spans="1:13" x14ac:dyDescent="0.3">
      <c r="A176">
        <v>275</v>
      </c>
      <c r="B176">
        <v>65</v>
      </c>
      <c r="C176" t="s">
        <v>11</v>
      </c>
      <c r="D176" t="s">
        <v>12</v>
      </c>
      <c r="E176" t="s">
        <v>19</v>
      </c>
      <c r="F176" t="s">
        <v>20</v>
      </c>
      <c r="G176" t="s">
        <v>21</v>
      </c>
      <c r="H176" t="s">
        <v>41</v>
      </c>
      <c r="I176" s="1">
        <v>45529</v>
      </c>
      <c r="J176" s="1">
        <v>45536</v>
      </c>
      <c r="K176">
        <v>16500</v>
      </c>
      <c r="L176" t="str">
        <f t="shared" si="2"/>
        <v>Aug</v>
      </c>
      <c r="M176">
        <f>Table1[[#This Row],[Discharge_Date]]-Table1[[#This Row],[Admission_Date]]</f>
        <v>7</v>
      </c>
    </row>
    <row r="177" spans="1:13" x14ac:dyDescent="0.3">
      <c r="A177">
        <v>276</v>
      </c>
      <c r="B177">
        <v>40</v>
      </c>
      <c r="C177" t="s">
        <v>17</v>
      </c>
      <c r="D177" t="s">
        <v>18</v>
      </c>
      <c r="E177" t="s">
        <v>13</v>
      </c>
      <c r="F177" t="s">
        <v>14</v>
      </c>
      <c r="G177" t="s">
        <v>15</v>
      </c>
      <c r="H177" t="s">
        <v>16</v>
      </c>
      <c r="I177" s="1">
        <v>45530</v>
      </c>
      <c r="J177" s="1">
        <v>45530</v>
      </c>
      <c r="K177">
        <v>2700</v>
      </c>
      <c r="L177" t="str">
        <f t="shared" si="2"/>
        <v>Aug</v>
      </c>
      <c r="M177">
        <f>Table1[[#This Row],[Discharge_Date]]-Table1[[#This Row],[Admission_Date]]</f>
        <v>0</v>
      </c>
    </row>
    <row r="178" spans="1:13" x14ac:dyDescent="0.3">
      <c r="A178">
        <v>277</v>
      </c>
      <c r="B178">
        <v>51</v>
      </c>
      <c r="C178" t="s">
        <v>11</v>
      </c>
      <c r="D178" t="s">
        <v>23</v>
      </c>
      <c r="E178" t="s">
        <v>24</v>
      </c>
      <c r="F178" t="s">
        <v>25</v>
      </c>
      <c r="G178" t="s">
        <v>21</v>
      </c>
      <c r="H178" t="s">
        <v>26</v>
      </c>
      <c r="I178" s="1">
        <v>45531</v>
      </c>
      <c r="J178" s="1">
        <v>45537</v>
      </c>
      <c r="K178">
        <v>11200</v>
      </c>
      <c r="L178" t="str">
        <f t="shared" si="2"/>
        <v>Aug</v>
      </c>
      <c r="M178">
        <f>Table1[[#This Row],[Discharge_Date]]-Table1[[#This Row],[Admission_Date]]</f>
        <v>6</v>
      </c>
    </row>
    <row r="179" spans="1:13" x14ac:dyDescent="0.3">
      <c r="A179">
        <v>278</v>
      </c>
      <c r="B179">
        <v>32</v>
      </c>
      <c r="C179" t="s">
        <v>17</v>
      </c>
      <c r="D179" t="s">
        <v>12</v>
      </c>
      <c r="E179" t="s">
        <v>30</v>
      </c>
      <c r="F179" t="s">
        <v>31</v>
      </c>
      <c r="G179" t="s">
        <v>15</v>
      </c>
      <c r="H179" t="s">
        <v>34</v>
      </c>
      <c r="I179" s="1">
        <v>45532</v>
      </c>
      <c r="J179" s="1">
        <v>45532</v>
      </c>
      <c r="K179">
        <v>1900</v>
      </c>
      <c r="L179" t="str">
        <f t="shared" si="2"/>
        <v>Aug</v>
      </c>
      <c r="M179">
        <f>Table1[[#This Row],[Discharge_Date]]-Table1[[#This Row],[Admission_Date]]</f>
        <v>0</v>
      </c>
    </row>
    <row r="180" spans="1:13" x14ac:dyDescent="0.3">
      <c r="A180">
        <v>279</v>
      </c>
      <c r="B180">
        <v>56</v>
      </c>
      <c r="C180" t="s">
        <v>11</v>
      </c>
      <c r="D180" t="s">
        <v>28</v>
      </c>
      <c r="E180" t="s">
        <v>19</v>
      </c>
      <c r="F180" t="s">
        <v>20</v>
      </c>
      <c r="G180" t="s">
        <v>21</v>
      </c>
      <c r="H180" t="s">
        <v>29</v>
      </c>
      <c r="I180" s="1">
        <v>45533</v>
      </c>
      <c r="J180" s="1">
        <v>45539</v>
      </c>
      <c r="K180">
        <v>15000</v>
      </c>
      <c r="L180" t="str">
        <f t="shared" si="2"/>
        <v>Aug</v>
      </c>
      <c r="M180">
        <f>Table1[[#This Row],[Discharge_Date]]-Table1[[#This Row],[Admission_Date]]</f>
        <v>6</v>
      </c>
    </row>
    <row r="181" spans="1:13" x14ac:dyDescent="0.3">
      <c r="A181">
        <v>280</v>
      </c>
      <c r="B181">
        <v>37</v>
      </c>
      <c r="C181" t="s">
        <v>17</v>
      </c>
      <c r="D181" t="s">
        <v>18</v>
      </c>
      <c r="E181" t="s">
        <v>13</v>
      </c>
      <c r="F181" t="s">
        <v>14</v>
      </c>
      <c r="G181" t="s">
        <v>15</v>
      </c>
      <c r="H181" t="s">
        <v>35</v>
      </c>
      <c r="I181" s="1">
        <v>45534</v>
      </c>
      <c r="J181" s="1">
        <v>45534</v>
      </c>
      <c r="K181">
        <v>3000</v>
      </c>
      <c r="L181" t="str">
        <f t="shared" si="2"/>
        <v>Aug</v>
      </c>
      <c r="M181">
        <f>Table1[[#This Row],[Discharge_Date]]-Table1[[#This Row],[Admission_Date]]</f>
        <v>0</v>
      </c>
    </row>
    <row r="182" spans="1:13" x14ac:dyDescent="0.3">
      <c r="A182">
        <v>281</v>
      </c>
      <c r="B182">
        <v>48</v>
      </c>
      <c r="C182" t="s">
        <v>11</v>
      </c>
      <c r="D182" t="s">
        <v>12</v>
      </c>
      <c r="E182" t="s">
        <v>24</v>
      </c>
      <c r="F182" t="s">
        <v>25</v>
      </c>
      <c r="G182" t="s">
        <v>15</v>
      </c>
      <c r="H182" t="s">
        <v>33</v>
      </c>
      <c r="I182" s="1">
        <v>45536</v>
      </c>
      <c r="J182" s="1">
        <v>45536</v>
      </c>
      <c r="K182">
        <v>3600</v>
      </c>
      <c r="L182" t="str">
        <f t="shared" si="2"/>
        <v>Sep</v>
      </c>
      <c r="M182">
        <f>Table1[[#This Row],[Discharge_Date]]-Table1[[#This Row],[Admission_Date]]</f>
        <v>0</v>
      </c>
    </row>
    <row r="183" spans="1:13" x14ac:dyDescent="0.3">
      <c r="A183">
        <v>282</v>
      </c>
      <c r="B183">
        <v>33</v>
      </c>
      <c r="C183" t="s">
        <v>17</v>
      </c>
      <c r="D183" t="s">
        <v>18</v>
      </c>
      <c r="E183" t="s">
        <v>30</v>
      </c>
      <c r="F183" t="s">
        <v>31</v>
      </c>
      <c r="G183" t="s">
        <v>15</v>
      </c>
      <c r="H183" t="s">
        <v>32</v>
      </c>
      <c r="I183" s="1">
        <v>45537</v>
      </c>
      <c r="J183" s="1">
        <v>45537</v>
      </c>
      <c r="K183">
        <v>1800</v>
      </c>
      <c r="L183" t="str">
        <f t="shared" si="2"/>
        <v>Sep</v>
      </c>
      <c r="M183">
        <f>Table1[[#This Row],[Discharge_Date]]-Table1[[#This Row],[Admission_Date]]</f>
        <v>0</v>
      </c>
    </row>
    <row r="184" spans="1:13" x14ac:dyDescent="0.3">
      <c r="A184">
        <v>283</v>
      </c>
      <c r="B184">
        <v>60</v>
      </c>
      <c r="C184" t="s">
        <v>11</v>
      </c>
      <c r="D184" t="s">
        <v>23</v>
      </c>
      <c r="E184" t="s">
        <v>19</v>
      </c>
      <c r="F184" t="s">
        <v>20</v>
      </c>
      <c r="G184" t="s">
        <v>21</v>
      </c>
      <c r="H184" t="s">
        <v>29</v>
      </c>
      <c r="I184" s="1">
        <v>45538</v>
      </c>
      <c r="J184" s="1">
        <v>45544</v>
      </c>
      <c r="K184">
        <v>16000</v>
      </c>
      <c r="L184" t="str">
        <f t="shared" si="2"/>
        <v>Sep</v>
      </c>
      <c r="M184">
        <f>Table1[[#This Row],[Discharge_Date]]-Table1[[#This Row],[Admission_Date]]</f>
        <v>6</v>
      </c>
    </row>
    <row r="185" spans="1:13" x14ac:dyDescent="0.3">
      <c r="A185">
        <v>284</v>
      </c>
      <c r="B185">
        <v>39</v>
      </c>
      <c r="C185" t="s">
        <v>17</v>
      </c>
      <c r="D185" t="s">
        <v>28</v>
      </c>
      <c r="E185" t="s">
        <v>13</v>
      </c>
      <c r="F185" t="s">
        <v>14</v>
      </c>
      <c r="G185" t="s">
        <v>15</v>
      </c>
      <c r="H185" t="s">
        <v>16</v>
      </c>
      <c r="I185" s="1">
        <v>45539</v>
      </c>
      <c r="J185" s="1">
        <v>45539</v>
      </c>
      <c r="K185">
        <v>2800</v>
      </c>
      <c r="L185" t="str">
        <f t="shared" si="2"/>
        <v>Sep</v>
      </c>
      <c r="M185">
        <f>Table1[[#This Row],[Discharge_Date]]-Table1[[#This Row],[Admission_Date]]</f>
        <v>0</v>
      </c>
    </row>
    <row r="186" spans="1:13" x14ac:dyDescent="0.3">
      <c r="A186">
        <v>285</v>
      </c>
      <c r="B186">
        <v>50</v>
      </c>
      <c r="C186" t="s">
        <v>11</v>
      </c>
      <c r="D186" t="s">
        <v>12</v>
      </c>
      <c r="E186" t="s">
        <v>24</v>
      </c>
      <c r="F186" t="s">
        <v>25</v>
      </c>
      <c r="G186" t="s">
        <v>21</v>
      </c>
      <c r="H186" t="s">
        <v>26</v>
      </c>
      <c r="I186" s="1">
        <v>45540</v>
      </c>
      <c r="J186" s="1">
        <v>45546</v>
      </c>
      <c r="K186">
        <v>11500</v>
      </c>
      <c r="L186" t="str">
        <f t="shared" si="2"/>
        <v>Sep</v>
      </c>
      <c r="M186">
        <f>Table1[[#This Row],[Discharge_Date]]-Table1[[#This Row],[Admission_Date]]</f>
        <v>6</v>
      </c>
    </row>
    <row r="187" spans="1:13" x14ac:dyDescent="0.3">
      <c r="A187">
        <v>286</v>
      </c>
      <c r="B187">
        <v>34</v>
      </c>
      <c r="C187" t="s">
        <v>17</v>
      </c>
      <c r="D187" t="s">
        <v>18</v>
      </c>
      <c r="E187" t="s">
        <v>13</v>
      </c>
      <c r="F187" t="s">
        <v>14</v>
      </c>
      <c r="G187" t="s">
        <v>15</v>
      </c>
      <c r="H187" t="s">
        <v>35</v>
      </c>
      <c r="I187" s="1">
        <v>45541</v>
      </c>
      <c r="J187" s="1">
        <v>45541</v>
      </c>
      <c r="K187">
        <v>3100</v>
      </c>
      <c r="L187" t="str">
        <f t="shared" si="2"/>
        <v>Sep</v>
      </c>
      <c r="M187">
        <f>Table1[[#This Row],[Discharge_Date]]-Table1[[#This Row],[Admission_Date]]</f>
        <v>0</v>
      </c>
    </row>
    <row r="188" spans="1:13" x14ac:dyDescent="0.3">
      <c r="A188">
        <v>287</v>
      </c>
      <c r="B188">
        <v>45</v>
      </c>
      <c r="C188" t="s">
        <v>11</v>
      </c>
      <c r="D188" t="s">
        <v>23</v>
      </c>
      <c r="E188" t="s">
        <v>19</v>
      </c>
      <c r="F188" t="s">
        <v>20</v>
      </c>
      <c r="G188" t="s">
        <v>15</v>
      </c>
      <c r="H188" t="s">
        <v>22</v>
      </c>
      <c r="I188" s="1">
        <v>45542</v>
      </c>
      <c r="J188" s="1">
        <v>45542</v>
      </c>
      <c r="K188">
        <v>3900</v>
      </c>
      <c r="L188" t="str">
        <f t="shared" si="2"/>
        <v>Sep</v>
      </c>
      <c r="M188">
        <f>Table1[[#This Row],[Discharge_Date]]-Table1[[#This Row],[Admission_Date]]</f>
        <v>0</v>
      </c>
    </row>
    <row r="189" spans="1:13" x14ac:dyDescent="0.3">
      <c r="A189">
        <v>288</v>
      </c>
      <c r="B189">
        <v>31</v>
      </c>
      <c r="C189" t="s">
        <v>17</v>
      </c>
      <c r="D189" t="s">
        <v>12</v>
      </c>
      <c r="E189" t="s">
        <v>30</v>
      </c>
      <c r="F189" t="s">
        <v>31</v>
      </c>
      <c r="G189" t="s">
        <v>15</v>
      </c>
      <c r="H189" t="s">
        <v>34</v>
      </c>
      <c r="I189" s="1">
        <v>45543</v>
      </c>
      <c r="J189" s="1">
        <v>45543</v>
      </c>
      <c r="K189">
        <v>2000</v>
      </c>
      <c r="L189" t="str">
        <f t="shared" si="2"/>
        <v>Sep</v>
      </c>
      <c r="M189">
        <f>Table1[[#This Row],[Discharge_Date]]-Table1[[#This Row],[Admission_Date]]</f>
        <v>0</v>
      </c>
    </row>
    <row r="190" spans="1:13" x14ac:dyDescent="0.3">
      <c r="A190">
        <v>289</v>
      </c>
      <c r="B190">
        <v>58</v>
      </c>
      <c r="C190" t="s">
        <v>11</v>
      </c>
      <c r="D190" t="s">
        <v>28</v>
      </c>
      <c r="E190" t="s">
        <v>13</v>
      </c>
      <c r="F190" t="s">
        <v>14</v>
      </c>
      <c r="G190" t="s">
        <v>21</v>
      </c>
      <c r="H190" t="s">
        <v>27</v>
      </c>
      <c r="I190" s="1">
        <v>45544</v>
      </c>
      <c r="J190" s="1">
        <v>45550</v>
      </c>
      <c r="K190">
        <v>15500</v>
      </c>
      <c r="L190" t="str">
        <f t="shared" si="2"/>
        <v>Sep</v>
      </c>
      <c r="M190">
        <f>Table1[[#This Row],[Discharge_Date]]-Table1[[#This Row],[Admission_Date]]</f>
        <v>6</v>
      </c>
    </row>
    <row r="191" spans="1:13" x14ac:dyDescent="0.3">
      <c r="A191">
        <v>290</v>
      </c>
      <c r="B191">
        <v>41</v>
      </c>
      <c r="C191" t="s">
        <v>17</v>
      </c>
      <c r="D191" t="s">
        <v>18</v>
      </c>
      <c r="E191" t="s">
        <v>24</v>
      </c>
      <c r="F191" t="s">
        <v>25</v>
      </c>
      <c r="G191" t="s">
        <v>15</v>
      </c>
      <c r="H191" t="s">
        <v>39</v>
      </c>
      <c r="I191" s="1">
        <v>45545</v>
      </c>
      <c r="J191" s="1">
        <v>45545</v>
      </c>
      <c r="K191">
        <v>3500</v>
      </c>
      <c r="L191" t="str">
        <f t="shared" si="2"/>
        <v>Sep</v>
      </c>
      <c r="M191">
        <f>Table1[[#This Row],[Discharge_Date]]-Table1[[#This Row],[Admission_Date]]</f>
        <v>0</v>
      </c>
    </row>
    <row r="192" spans="1:13" x14ac:dyDescent="0.3">
      <c r="A192">
        <v>291</v>
      </c>
      <c r="B192">
        <v>53</v>
      </c>
      <c r="C192" t="s">
        <v>11</v>
      </c>
      <c r="D192" t="s">
        <v>12</v>
      </c>
      <c r="E192" t="s">
        <v>19</v>
      </c>
      <c r="F192" t="s">
        <v>20</v>
      </c>
      <c r="G192" t="s">
        <v>21</v>
      </c>
      <c r="H192" t="s">
        <v>36</v>
      </c>
      <c r="I192" s="1">
        <v>45546</v>
      </c>
      <c r="J192" s="1">
        <v>45552</v>
      </c>
      <c r="K192">
        <v>14000</v>
      </c>
      <c r="L192" t="str">
        <f t="shared" si="2"/>
        <v>Sep</v>
      </c>
      <c r="M192">
        <f>Table1[[#This Row],[Discharge_Date]]-Table1[[#This Row],[Admission_Date]]</f>
        <v>6</v>
      </c>
    </row>
    <row r="193" spans="1:13" x14ac:dyDescent="0.3">
      <c r="A193">
        <v>292</v>
      </c>
      <c r="B193">
        <v>36</v>
      </c>
      <c r="C193" t="s">
        <v>17</v>
      </c>
      <c r="D193" t="s">
        <v>23</v>
      </c>
      <c r="E193" t="s">
        <v>13</v>
      </c>
      <c r="F193" t="s">
        <v>14</v>
      </c>
      <c r="G193" t="s">
        <v>15</v>
      </c>
      <c r="H193" t="s">
        <v>40</v>
      </c>
      <c r="I193" s="1">
        <v>45547</v>
      </c>
      <c r="J193" s="1">
        <v>45547</v>
      </c>
      <c r="K193">
        <v>3300</v>
      </c>
      <c r="L193" t="str">
        <f t="shared" si="2"/>
        <v>Sep</v>
      </c>
      <c r="M193">
        <f>Table1[[#This Row],[Discharge_Date]]-Table1[[#This Row],[Admission_Date]]</f>
        <v>0</v>
      </c>
    </row>
    <row r="194" spans="1:13" x14ac:dyDescent="0.3">
      <c r="A194">
        <v>293</v>
      </c>
      <c r="B194">
        <v>61</v>
      </c>
      <c r="C194" t="s">
        <v>11</v>
      </c>
      <c r="D194" t="s">
        <v>28</v>
      </c>
      <c r="E194" t="s">
        <v>24</v>
      </c>
      <c r="F194" t="s">
        <v>25</v>
      </c>
      <c r="G194" t="s">
        <v>21</v>
      </c>
      <c r="H194" t="s">
        <v>33</v>
      </c>
      <c r="I194" s="1">
        <v>45548</v>
      </c>
      <c r="J194" s="1">
        <v>45554</v>
      </c>
      <c r="K194">
        <v>11500</v>
      </c>
      <c r="L194" t="str">
        <f t="shared" ref="L194:L221" si="3">TEXT(I194,"mmm")</f>
        <v>Sep</v>
      </c>
      <c r="M194">
        <f>Table1[[#This Row],[Discharge_Date]]-Table1[[#This Row],[Admission_Date]]</f>
        <v>6</v>
      </c>
    </row>
    <row r="195" spans="1:13" x14ac:dyDescent="0.3">
      <c r="A195">
        <v>294</v>
      </c>
      <c r="B195">
        <v>30</v>
      </c>
      <c r="C195" t="s">
        <v>17</v>
      </c>
      <c r="D195" t="s">
        <v>12</v>
      </c>
      <c r="E195" t="s">
        <v>30</v>
      </c>
      <c r="F195" t="s">
        <v>31</v>
      </c>
      <c r="G195" t="s">
        <v>15</v>
      </c>
      <c r="H195" t="s">
        <v>38</v>
      </c>
      <c r="I195" s="1">
        <v>45549</v>
      </c>
      <c r="J195" s="1">
        <v>45549</v>
      </c>
      <c r="K195">
        <v>1700</v>
      </c>
      <c r="L195" t="str">
        <f t="shared" si="3"/>
        <v>Sep</v>
      </c>
      <c r="M195">
        <f>Table1[[#This Row],[Discharge_Date]]-Table1[[#This Row],[Admission_Date]]</f>
        <v>0</v>
      </c>
    </row>
    <row r="196" spans="1:13" x14ac:dyDescent="0.3">
      <c r="A196">
        <v>295</v>
      </c>
      <c r="B196">
        <v>49</v>
      </c>
      <c r="C196" t="s">
        <v>11</v>
      </c>
      <c r="D196" t="s">
        <v>18</v>
      </c>
      <c r="E196" t="s">
        <v>13</v>
      </c>
      <c r="F196" t="s">
        <v>14</v>
      </c>
      <c r="G196" t="s">
        <v>15</v>
      </c>
      <c r="H196" t="s">
        <v>16</v>
      </c>
      <c r="I196" s="1">
        <v>45550</v>
      </c>
      <c r="J196" s="1">
        <v>45550</v>
      </c>
      <c r="K196">
        <v>2900</v>
      </c>
      <c r="L196" t="str">
        <f t="shared" si="3"/>
        <v>Sep</v>
      </c>
      <c r="M196">
        <f>Table1[[#This Row],[Discharge_Date]]-Table1[[#This Row],[Admission_Date]]</f>
        <v>0</v>
      </c>
    </row>
    <row r="197" spans="1:13" x14ac:dyDescent="0.3">
      <c r="A197">
        <v>296</v>
      </c>
      <c r="B197">
        <v>42</v>
      </c>
      <c r="C197" t="s">
        <v>17</v>
      </c>
      <c r="D197" t="s">
        <v>23</v>
      </c>
      <c r="E197" t="s">
        <v>19</v>
      </c>
      <c r="F197" t="s">
        <v>20</v>
      </c>
      <c r="G197" t="s">
        <v>21</v>
      </c>
      <c r="H197" t="s">
        <v>22</v>
      </c>
      <c r="I197" s="1">
        <v>45551</v>
      </c>
      <c r="J197" s="1">
        <v>45556</v>
      </c>
      <c r="K197">
        <v>10000</v>
      </c>
      <c r="L197" t="str">
        <f t="shared" si="3"/>
        <v>Sep</v>
      </c>
      <c r="M197">
        <f>Table1[[#This Row],[Discharge_Date]]-Table1[[#This Row],[Admission_Date]]</f>
        <v>5</v>
      </c>
    </row>
    <row r="198" spans="1:13" x14ac:dyDescent="0.3">
      <c r="A198">
        <v>297</v>
      </c>
      <c r="B198">
        <v>55</v>
      </c>
      <c r="C198" t="s">
        <v>11</v>
      </c>
      <c r="D198" t="s">
        <v>12</v>
      </c>
      <c r="E198" t="s">
        <v>24</v>
      </c>
      <c r="F198" t="s">
        <v>25</v>
      </c>
      <c r="G198" t="s">
        <v>15</v>
      </c>
      <c r="H198" t="s">
        <v>39</v>
      </c>
      <c r="I198" s="1">
        <v>45552</v>
      </c>
      <c r="J198" s="1">
        <v>45552</v>
      </c>
      <c r="K198">
        <v>3700</v>
      </c>
      <c r="L198" t="str">
        <f t="shared" si="3"/>
        <v>Sep</v>
      </c>
      <c r="M198">
        <f>Table1[[#This Row],[Discharge_Date]]-Table1[[#This Row],[Admission_Date]]</f>
        <v>0</v>
      </c>
    </row>
    <row r="199" spans="1:13" x14ac:dyDescent="0.3">
      <c r="A199">
        <v>298</v>
      </c>
      <c r="B199">
        <v>38</v>
      </c>
      <c r="C199" t="s">
        <v>17</v>
      </c>
      <c r="D199" t="s">
        <v>28</v>
      </c>
      <c r="E199" t="s">
        <v>13</v>
      </c>
      <c r="F199" t="s">
        <v>14</v>
      </c>
      <c r="G199" t="s">
        <v>15</v>
      </c>
      <c r="H199" t="s">
        <v>35</v>
      </c>
      <c r="I199" s="1">
        <v>45553</v>
      </c>
      <c r="J199" s="1">
        <v>45553</v>
      </c>
      <c r="K199">
        <v>3100</v>
      </c>
      <c r="L199" t="str">
        <f t="shared" si="3"/>
        <v>Sep</v>
      </c>
      <c r="M199">
        <f>Table1[[#This Row],[Discharge_Date]]-Table1[[#This Row],[Admission_Date]]</f>
        <v>0</v>
      </c>
    </row>
    <row r="200" spans="1:13" x14ac:dyDescent="0.3">
      <c r="A200">
        <v>299</v>
      </c>
      <c r="B200">
        <v>63</v>
      </c>
      <c r="C200" t="s">
        <v>11</v>
      </c>
      <c r="D200" t="s">
        <v>18</v>
      </c>
      <c r="E200" t="s">
        <v>19</v>
      </c>
      <c r="F200" t="s">
        <v>20</v>
      </c>
      <c r="G200" t="s">
        <v>21</v>
      </c>
      <c r="H200" t="s">
        <v>41</v>
      </c>
      <c r="I200" s="1">
        <v>45554</v>
      </c>
      <c r="J200" s="1">
        <v>45560</v>
      </c>
      <c r="K200">
        <v>16500</v>
      </c>
      <c r="L200" t="str">
        <f t="shared" si="3"/>
        <v>Sep</v>
      </c>
      <c r="M200">
        <f>Table1[[#This Row],[Discharge_Date]]-Table1[[#This Row],[Admission_Date]]</f>
        <v>6</v>
      </c>
    </row>
    <row r="201" spans="1:13" x14ac:dyDescent="0.3">
      <c r="A201">
        <v>300</v>
      </c>
      <c r="B201">
        <v>32</v>
      </c>
      <c r="C201" t="s">
        <v>17</v>
      </c>
      <c r="D201" t="s">
        <v>12</v>
      </c>
      <c r="E201" t="s">
        <v>30</v>
      </c>
      <c r="F201" t="s">
        <v>31</v>
      </c>
      <c r="G201" t="s">
        <v>15</v>
      </c>
      <c r="H201" t="s">
        <v>34</v>
      </c>
      <c r="I201" s="1">
        <v>45555</v>
      </c>
      <c r="J201" s="1">
        <v>45555</v>
      </c>
      <c r="K201">
        <v>2000</v>
      </c>
      <c r="L201" t="str">
        <f t="shared" si="3"/>
        <v>Sep</v>
      </c>
      <c r="M201">
        <f>Table1[[#This Row],[Discharge_Date]]-Table1[[#This Row],[Admission_Date]]</f>
        <v>0</v>
      </c>
    </row>
    <row r="202" spans="1:13" x14ac:dyDescent="0.3">
      <c r="A202">
        <v>301</v>
      </c>
      <c r="B202">
        <v>47</v>
      </c>
      <c r="C202" t="s">
        <v>11</v>
      </c>
      <c r="D202" t="s">
        <v>12</v>
      </c>
      <c r="E202" t="s">
        <v>13</v>
      </c>
      <c r="F202" t="s">
        <v>14</v>
      </c>
      <c r="G202" t="s">
        <v>15</v>
      </c>
      <c r="H202" t="s">
        <v>16</v>
      </c>
      <c r="I202" s="1">
        <v>45556</v>
      </c>
      <c r="J202" s="1">
        <v>45556</v>
      </c>
      <c r="K202">
        <v>3000</v>
      </c>
      <c r="L202" t="str">
        <f t="shared" si="3"/>
        <v>Sep</v>
      </c>
      <c r="M202">
        <f>Table1[[#This Row],[Discharge_Date]]-Table1[[#This Row],[Admission_Date]]</f>
        <v>0</v>
      </c>
    </row>
    <row r="203" spans="1:13" x14ac:dyDescent="0.3">
      <c r="A203">
        <v>302</v>
      </c>
      <c r="B203">
        <v>35</v>
      </c>
      <c r="C203" t="s">
        <v>17</v>
      </c>
      <c r="D203" t="s">
        <v>18</v>
      </c>
      <c r="E203" t="s">
        <v>19</v>
      </c>
      <c r="F203" t="s">
        <v>20</v>
      </c>
      <c r="G203" t="s">
        <v>21</v>
      </c>
      <c r="H203" t="s">
        <v>22</v>
      </c>
      <c r="I203" s="1">
        <v>45557</v>
      </c>
      <c r="J203" s="1">
        <v>45562</v>
      </c>
      <c r="K203">
        <v>10200</v>
      </c>
      <c r="L203" t="str">
        <f t="shared" si="3"/>
        <v>Sep</v>
      </c>
      <c r="M203">
        <f>Table1[[#This Row],[Discharge_Date]]-Table1[[#This Row],[Admission_Date]]</f>
        <v>5</v>
      </c>
    </row>
    <row r="204" spans="1:13" x14ac:dyDescent="0.3">
      <c r="A204">
        <v>303</v>
      </c>
      <c r="B204">
        <v>52</v>
      </c>
      <c r="C204" t="s">
        <v>11</v>
      </c>
      <c r="D204" t="s">
        <v>23</v>
      </c>
      <c r="E204" t="s">
        <v>24</v>
      </c>
      <c r="F204" t="s">
        <v>25</v>
      </c>
      <c r="G204" t="s">
        <v>15</v>
      </c>
      <c r="H204" t="s">
        <v>33</v>
      </c>
      <c r="I204" s="1">
        <v>45558</v>
      </c>
      <c r="J204" s="1">
        <v>45558</v>
      </c>
      <c r="K204">
        <v>3800</v>
      </c>
      <c r="L204" t="str">
        <f t="shared" si="3"/>
        <v>Sep</v>
      </c>
      <c r="M204">
        <f>Table1[[#This Row],[Discharge_Date]]-Table1[[#This Row],[Admission_Date]]</f>
        <v>0</v>
      </c>
    </row>
    <row r="205" spans="1:13" x14ac:dyDescent="0.3">
      <c r="A205">
        <v>304</v>
      </c>
      <c r="B205">
        <v>31</v>
      </c>
      <c r="C205" t="s">
        <v>17</v>
      </c>
      <c r="D205" t="s">
        <v>28</v>
      </c>
      <c r="E205" t="s">
        <v>30</v>
      </c>
      <c r="F205" t="s">
        <v>31</v>
      </c>
      <c r="G205" t="s">
        <v>15</v>
      </c>
      <c r="H205" t="s">
        <v>32</v>
      </c>
      <c r="I205" s="1">
        <v>45559</v>
      </c>
      <c r="J205" s="1">
        <v>45559</v>
      </c>
      <c r="K205">
        <v>1800</v>
      </c>
      <c r="L205" t="str">
        <f t="shared" si="3"/>
        <v>Sep</v>
      </c>
      <c r="M205">
        <f>Table1[[#This Row],[Discharge_Date]]-Table1[[#This Row],[Admission_Date]]</f>
        <v>0</v>
      </c>
    </row>
    <row r="206" spans="1:13" x14ac:dyDescent="0.3">
      <c r="A206">
        <v>305</v>
      </c>
      <c r="B206">
        <v>59</v>
      </c>
      <c r="C206" t="s">
        <v>11</v>
      </c>
      <c r="D206" t="s">
        <v>12</v>
      </c>
      <c r="E206" t="s">
        <v>13</v>
      </c>
      <c r="F206" t="s">
        <v>14</v>
      </c>
      <c r="G206" t="s">
        <v>21</v>
      </c>
      <c r="H206" t="s">
        <v>27</v>
      </c>
      <c r="I206" s="1">
        <v>45560</v>
      </c>
      <c r="J206" s="1">
        <v>45566</v>
      </c>
      <c r="K206">
        <v>16000</v>
      </c>
      <c r="L206" t="str">
        <f t="shared" si="3"/>
        <v>Sep</v>
      </c>
      <c r="M206">
        <f>Table1[[#This Row],[Discharge_Date]]-Table1[[#This Row],[Admission_Date]]</f>
        <v>6</v>
      </c>
    </row>
    <row r="207" spans="1:13" x14ac:dyDescent="0.3">
      <c r="A207">
        <v>306</v>
      </c>
      <c r="B207">
        <v>43</v>
      </c>
      <c r="C207" t="s">
        <v>17</v>
      </c>
      <c r="D207" t="s">
        <v>18</v>
      </c>
      <c r="E207" t="s">
        <v>19</v>
      </c>
      <c r="F207" t="s">
        <v>20</v>
      </c>
      <c r="G207" t="s">
        <v>15</v>
      </c>
      <c r="H207" t="s">
        <v>22</v>
      </c>
      <c r="I207" s="1">
        <v>45561</v>
      </c>
      <c r="J207" s="1">
        <v>45561</v>
      </c>
      <c r="K207">
        <v>4000</v>
      </c>
      <c r="L207" t="str">
        <f t="shared" si="3"/>
        <v>Sep</v>
      </c>
      <c r="M207">
        <f>Table1[[#This Row],[Discharge_Date]]-Table1[[#This Row],[Admission_Date]]</f>
        <v>0</v>
      </c>
    </row>
    <row r="208" spans="1:13" x14ac:dyDescent="0.3">
      <c r="A208">
        <v>307</v>
      </c>
      <c r="B208">
        <v>48</v>
      </c>
      <c r="C208" t="s">
        <v>11</v>
      </c>
      <c r="D208" t="s">
        <v>23</v>
      </c>
      <c r="E208" t="s">
        <v>24</v>
      </c>
      <c r="F208" t="s">
        <v>25</v>
      </c>
      <c r="G208" t="s">
        <v>21</v>
      </c>
      <c r="H208" t="s">
        <v>26</v>
      </c>
      <c r="I208" s="1">
        <v>45562</v>
      </c>
      <c r="J208" s="1">
        <v>45568</v>
      </c>
      <c r="K208">
        <v>11500</v>
      </c>
      <c r="L208" t="str">
        <f t="shared" si="3"/>
        <v>Sep</v>
      </c>
      <c r="M208">
        <f>Table1[[#This Row],[Discharge_Date]]-Table1[[#This Row],[Admission_Date]]</f>
        <v>6</v>
      </c>
    </row>
    <row r="209" spans="1:13" x14ac:dyDescent="0.3">
      <c r="A209">
        <v>308</v>
      </c>
      <c r="B209">
        <v>30</v>
      </c>
      <c r="C209" t="s">
        <v>17</v>
      </c>
      <c r="D209" t="s">
        <v>12</v>
      </c>
      <c r="E209" t="s">
        <v>30</v>
      </c>
      <c r="F209" t="s">
        <v>31</v>
      </c>
      <c r="G209" t="s">
        <v>15</v>
      </c>
      <c r="H209" t="s">
        <v>34</v>
      </c>
      <c r="I209" s="1">
        <v>45563</v>
      </c>
      <c r="J209" s="1">
        <v>45563</v>
      </c>
      <c r="K209">
        <v>2000</v>
      </c>
      <c r="L209" t="str">
        <f t="shared" si="3"/>
        <v>Sep</v>
      </c>
      <c r="M209">
        <f>Table1[[#This Row],[Discharge_Date]]-Table1[[#This Row],[Admission_Date]]</f>
        <v>0</v>
      </c>
    </row>
    <row r="210" spans="1:13" x14ac:dyDescent="0.3">
      <c r="A210">
        <v>309</v>
      </c>
      <c r="B210">
        <v>57</v>
      </c>
      <c r="C210" t="s">
        <v>11</v>
      </c>
      <c r="D210" t="s">
        <v>28</v>
      </c>
      <c r="E210" t="s">
        <v>13</v>
      </c>
      <c r="F210" t="s">
        <v>14</v>
      </c>
      <c r="G210" t="s">
        <v>15</v>
      </c>
      <c r="H210" t="s">
        <v>35</v>
      </c>
      <c r="I210" s="1">
        <v>45564</v>
      </c>
      <c r="J210" s="1">
        <v>45564</v>
      </c>
      <c r="K210">
        <v>3200</v>
      </c>
      <c r="L210" t="str">
        <f t="shared" si="3"/>
        <v>Sep</v>
      </c>
      <c r="M210">
        <f>Table1[[#This Row],[Discharge_Date]]-Table1[[#This Row],[Admission_Date]]</f>
        <v>0</v>
      </c>
    </row>
    <row r="211" spans="1:13" x14ac:dyDescent="0.3">
      <c r="A211">
        <v>310</v>
      </c>
      <c r="B211">
        <v>34</v>
      </c>
      <c r="C211" t="s">
        <v>17</v>
      </c>
      <c r="D211" t="s">
        <v>18</v>
      </c>
      <c r="E211" t="s">
        <v>19</v>
      </c>
      <c r="F211" t="s">
        <v>20</v>
      </c>
      <c r="G211" t="s">
        <v>21</v>
      </c>
      <c r="H211" t="s">
        <v>36</v>
      </c>
      <c r="I211" s="1">
        <v>45565</v>
      </c>
      <c r="J211" s="1">
        <v>45570</v>
      </c>
      <c r="K211">
        <v>12500</v>
      </c>
      <c r="L211" t="str">
        <f t="shared" si="3"/>
        <v>Sep</v>
      </c>
      <c r="M211">
        <f>Table1[[#This Row],[Discharge_Date]]-Table1[[#This Row],[Admission_Date]]</f>
        <v>5</v>
      </c>
    </row>
    <row r="212" spans="1:13" x14ac:dyDescent="0.3">
      <c r="A212">
        <v>311</v>
      </c>
      <c r="B212">
        <v>64</v>
      </c>
      <c r="C212" t="s">
        <v>11</v>
      </c>
      <c r="D212" t="s">
        <v>12</v>
      </c>
      <c r="E212" t="s">
        <v>13</v>
      </c>
      <c r="F212" t="s">
        <v>14</v>
      </c>
      <c r="G212" t="s">
        <v>21</v>
      </c>
      <c r="H212" t="s">
        <v>37</v>
      </c>
      <c r="I212" s="1">
        <v>45566</v>
      </c>
      <c r="J212" s="1">
        <v>45573</v>
      </c>
      <c r="K212">
        <v>17500</v>
      </c>
      <c r="L212" t="str">
        <f t="shared" si="3"/>
        <v>Oct</v>
      </c>
      <c r="M212">
        <f>Table1[[#This Row],[Discharge_Date]]-Table1[[#This Row],[Admission_Date]]</f>
        <v>7</v>
      </c>
    </row>
    <row r="213" spans="1:13" x14ac:dyDescent="0.3">
      <c r="A213">
        <v>312</v>
      </c>
      <c r="B213">
        <v>38</v>
      </c>
      <c r="C213" t="s">
        <v>17</v>
      </c>
      <c r="D213" t="s">
        <v>23</v>
      </c>
      <c r="E213" t="s">
        <v>30</v>
      </c>
      <c r="F213" t="s">
        <v>31</v>
      </c>
      <c r="G213" t="s">
        <v>15</v>
      </c>
      <c r="H213" t="s">
        <v>38</v>
      </c>
      <c r="I213" s="1">
        <v>45567</v>
      </c>
      <c r="J213" s="1">
        <v>45567</v>
      </c>
      <c r="K213">
        <v>1700</v>
      </c>
      <c r="L213" t="str">
        <f t="shared" si="3"/>
        <v>Oct</v>
      </c>
      <c r="M213">
        <f>Table1[[#This Row],[Discharge_Date]]-Table1[[#This Row],[Admission_Date]]</f>
        <v>0</v>
      </c>
    </row>
    <row r="214" spans="1:13" x14ac:dyDescent="0.3">
      <c r="A214">
        <v>313</v>
      </c>
      <c r="B214">
        <v>46</v>
      </c>
      <c r="C214" t="s">
        <v>11</v>
      </c>
      <c r="D214" t="s">
        <v>18</v>
      </c>
      <c r="E214" t="s">
        <v>24</v>
      </c>
      <c r="F214" t="s">
        <v>25</v>
      </c>
      <c r="G214" t="s">
        <v>15</v>
      </c>
      <c r="H214" t="s">
        <v>39</v>
      </c>
      <c r="I214" s="1">
        <v>45568</v>
      </c>
      <c r="J214" s="1">
        <v>45568</v>
      </c>
      <c r="K214">
        <v>3600</v>
      </c>
      <c r="L214" t="str">
        <f t="shared" si="3"/>
        <v>Oct</v>
      </c>
      <c r="M214">
        <f>Table1[[#This Row],[Discharge_Date]]-Table1[[#This Row],[Admission_Date]]</f>
        <v>0</v>
      </c>
    </row>
    <row r="215" spans="1:13" x14ac:dyDescent="0.3">
      <c r="A215">
        <v>314</v>
      </c>
      <c r="B215">
        <v>29</v>
      </c>
      <c r="C215" t="s">
        <v>17</v>
      </c>
      <c r="D215" t="s">
        <v>28</v>
      </c>
      <c r="E215" t="s">
        <v>13</v>
      </c>
      <c r="F215" t="s">
        <v>14</v>
      </c>
      <c r="G215" t="s">
        <v>15</v>
      </c>
      <c r="H215" t="s">
        <v>40</v>
      </c>
      <c r="I215" s="1">
        <v>45569</v>
      </c>
      <c r="J215" s="1">
        <v>45569</v>
      </c>
      <c r="K215">
        <v>3300</v>
      </c>
      <c r="L215" t="str">
        <f t="shared" si="3"/>
        <v>Oct</v>
      </c>
      <c r="M215">
        <f>Table1[[#This Row],[Discharge_Date]]-Table1[[#This Row],[Admission_Date]]</f>
        <v>0</v>
      </c>
    </row>
    <row r="216" spans="1:13" x14ac:dyDescent="0.3">
      <c r="A216">
        <v>315</v>
      </c>
      <c r="B216">
        <v>65</v>
      </c>
      <c r="C216" t="s">
        <v>11</v>
      </c>
      <c r="D216" t="s">
        <v>12</v>
      </c>
      <c r="E216" t="s">
        <v>19</v>
      </c>
      <c r="F216" t="s">
        <v>20</v>
      </c>
      <c r="G216" t="s">
        <v>21</v>
      </c>
      <c r="H216" t="s">
        <v>41</v>
      </c>
      <c r="I216" s="1">
        <v>45570</v>
      </c>
      <c r="J216" s="1">
        <v>45577</v>
      </c>
      <c r="K216">
        <v>17000</v>
      </c>
      <c r="L216" t="str">
        <f t="shared" si="3"/>
        <v>Oct</v>
      </c>
      <c r="M216">
        <f>Table1[[#This Row],[Discharge_Date]]-Table1[[#This Row],[Admission_Date]]</f>
        <v>7</v>
      </c>
    </row>
    <row r="217" spans="1:13" x14ac:dyDescent="0.3">
      <c r="A217">
        <v>316</v>
      </c>
      <c r="B217">
        <v>40</v>
      </c>
      <c r="C217" t="s">
        <v>17</v>
      </c>
      <c r="D217" t="s">
        <v>18</v>
      </c>
      <c r="E217" t="s">
        <v>13</v>
      </c>
      <c r="F217" t="s">
        <v>14</v>
      </c>
      <c r="G217" t="s">
        <v>15</v>
      </c>
      <c r="H217" t="s">
        <v>16</v>
      </c>
      <c r="I217" s="1">
        <v>45571</v>
      </c>
      <c r="J217" s="1">
        <v>45571</v>
      </c>
      <c r="K217">
        <v>2800</v>
      </c>
      <c r="L217" t="str">
        <f t="shared" si="3"/>
        <v>Oct</v>
      </c>
      <c r="M217">
        <f>Table1[[#This Row],[Discharge_Date]]-Table1[[#This Row],[Admission_Date]]</f>
        <v>0</v>
      </c>
    </row>
    <row r="218" spans="1:13" x14ac:dyDescent="0.3">
      <c r="A218">
        <v>317</v>
      </c>
      <c r="B218">
        <v>51</v>
      </c>
      <c r="C218" t="s">
        <v>11</v>
      </c>
      <c r="D218" t="s">
        <v>23</v>
      </c>
      <c r="E218" t="s">
        <v>24</v>
      </c>
      <c r="F218" t="s">
        <v>25</v>
      </c>
      <c r="G218" t="s">
        <v>21</v>
      </c>
      <c r="H218" t="s">
        <v>26</v>
      </c>
      <c r="I218" s="1">
        <v>45572</v>
      </c>
      <c r="J218" s="1">
        <v>45578</v>
      </c>
      <c r="K218">
        <v>11800</v>
      </c>
      <c r="L218" t="str">
        <f t="shared" si="3"/>
        <v>Oct</v>
      </c>
      <c r="M218">
        <f>Table1[[#This Row],[Discharge_Date]]-Table1[[#This Row],[Admission_Date]]</f>
        <v>6</v>
      </c>
    </row>
    <row r="219" spans="1:13" x14ac:dyDescent="0.3">
      <c r="A219">
        <v>318</v>
      </c>
      <c r="B219">
        <v>32</v>
      </c>
      <c r="C219" t="s">
        <v>17</v>
      </c>
      <c r="D219" t="s">
        <v>12</v>
      </c>
      <c r="E219" t="s">
        <v>30</v>
      </c>
      <c r="F219" t="s">
        <v>31</v>
      </c>
      <c r="G219" t="s">
        <v>15</v>
      </c>
      <c r="H219" t="s">
        <v>34</v>
      </c>
      <c r="I219" s="1">
        <v>45573</v>
      </c>
      <c r="J219" s="1">
        <v>45573</v>
      </c>
      <c r="K219">
        <v>2000</v>
      </c>
      <c r="L219" t="str">
        <f t="shared" si="3"/>
        <v>Oct</v>
      </c>
      <c r="M219">
        <f>Table1[[#This Row],[Discharge_Date]]-Table1[[#This Row],[Admission_Date]]</f>
        <v>0</v>
      </c>
    </row>
    <row r="220" spans="1:13" x14ac:dyDescent="0.3">
      <c r="A220">
        <v>319</v>
      </c>
      <c r="B220">
        <v>56</v>
      </c>
      <c r="C220" t="s">
        <v>11</v>
      </c>
      <c r="D220" t="s">
        <v>28</v>
      </c>
      <c r="E220" t="s">
        <v>19</v>
      </c>
      <c r="F220" t="s">
        <v>20</v>
      </c>
      <c r="G220" t="s">
        <v>21</v>
      </c>
      <c r="H220" t="s">
        <v>29</v>
      </c>
      <c r="I220" s="1">
        <v>45574</v>
      </c>
      <c r="J220" s="1">
        <v>45580</v>
      </c>
      <c r="K220">
        <v>15500</v>
      </c>
      <c r="L220" t="str">
        <f t="shared" si="3"/>
        <v>Oct</v>
      </c>
      <c r="M220">
        <f>Table1[[#This Row],[Discharge_Date]]-Table1[[#This Row],[Admission_Date]]</f>
        <v>6</v>
      </c>
    </row>
    <row r="221" spans="1:13" x14ac:dyDescent="0.3">
      <c r="A221">
        <v>320</v>
      </c>
      <c r="B221">
        <v>37</v>
      </c>
      <c r="C221" t="s">
        <v>17</v>
      </c>
      <c r="D221" t="s">
        <v>18</v>
      </c>
      <c r="E221" t="s">
        <v>13</v>
      </c>
      <c r="F221" t="s">
        <v>14</v>
      </c>
      <c r="G221" t="s">
        <v>15</v>
      </c>
      <c r="H221" t="s">
        <v>35</v>
      </c>
      <c r="I221" s="1">
        <v>45575</v>
      </c>
      <c r="J221" s="1">
        <v>45575</v>
      </c>
      <c r="K221">
        <v>3200</v>
      </c>
      <c r="L221" t="str">
        <f t="shared" si="3"/>
        <v>Oct</v>
      </c>
      <c r="M221">
        <f>Table1[[#This Row],[Discharge_Date]]-Table1[[#This Row],[Admission_Date]]</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6C3D6-586B-4176-A6E3-0C46D7C594F4}">
  <dimension ref="A3:I27"/>
  <sheetViews>
    <sheetView workbookViewId="0">
      <selection activeCell="I25" sqref="I25"/>
    </sheetView>
  </sheetViews>
  <sheetFormatPr defaultRowHeight="14.4" x14ac:dyDescent="0.3"/>
  <cols>
    <col min="1" max="1" width="13.33203125" bestFit="1" customWidth="1"/>
    <col min="2" max="2" width="13.109375" bestFit="1" customWidth="1"/>
    <col min="4" max="4" width="10.77734375" bestFit="1" customWidth="1"/>
    <col min="5" max="5" width="13.109375" bestFit="1" customWidth="1"/>
  </cols>
  <sheetData>
    <row r="3" spans="1:9" x14ac:dyDescent="0.3">
      <c r="A3" s="2" t="s">
        <v>4</v>
      </c>
      <c r="B3" t="s">
        <v>58</v>
      </c>
      <c r="D3" s="2" t="s">
        <v>42</v>
      </c>
      <c r="E3" t="s">
        <v>59</v>
      </c>
    </row>
    <row r="4" spans="1:9" x14ac:dyDescent="0.3">
      <c r="A4" s="3" t="s">
        <v>13</v>
      </c>
      <c r="B4" s="5">
        <v>72</v>
      </c>
      <c r="D4" s="3" t="s">
        <v>46</v>
      </c>
      <c r="E4" s="5">
        <v>54300</v>
      </c>
    </row>
    <row r="5" spans="1:9" x14ac:dyDescent="0.3">
      <c r="A5" s="3" t="s">
        <v>30</v>
      </c>
      <c r="B5" s="5">
        <v>44</v>
      </c>
      <c r="D5" s="3" t="s">
        <v>47</v>
      </c>
      <c r="E5" s="5">
        <v>65000</v>
      </c>
    </row>
    <row r="6" spans="1:9" x14ac:dyDescent="0.3">
      <c r="A6" s="3" t="s">
        <v>19</v>
      </c>
      <c r="B6" s="5">
        <v>55</v>
      </c>
      <c r="D6" s="3" t="s">
        <v>48</v>
      </c>
      <c r="E6" s="5">
        <v>94200</v>
      </c>
    </row>
    <row r="7" spans="1:9" x14ac:dyDescent="0.3">
      <c r="A7" s="3" t="s">
        <v>24</v>
      </c>
      <c r="B7" s="5">
        <v>49</v>
      </c>
      <c r="D7" s="3" t="s">
        <v>49</v>
      </c>
      <c r="E7" s="5">
        <v>150300</v>
      </c>
    </row>
    <row r="8" spans="1:9" x14ac:dyDescent="0.3">
      <c r="A8" s="3" t="s">
        <v>45</v>
      </c>
      <c r="B8" s="5">
        <v>220</v>
      </c>
      <c r="D8" s="3" t="s">
        <v>50</v>
      </c>
      <c r="E8" s="5">
        <v>169600</v>
      </c>
    </row>
    <row r="9" spans="1:9" x14ac:dyDescent="0.3">
      <c r="D9" s="3" t="s">
        <v>51</v>
      </c>
      <c r="E9" s="5">
        <v>203100</v>
      </c>
    </row>
    <row r="10" spans="1:9" x14ac:dyDescent="0.3">
      <c r="A10" s="2" t="s">
        <v>4</v>
      </c>
      <c r="B10" t="s">
        <v>59</v>
      </c>
      <c r="D10" s="3" t="s">
        <v>52</v>
      </c>
      <c r="E10" s="5">
        <v>199400</v>
      </c>
    </row>
    <row r="11" spans="1:9" x14ac:dyDescent="0.3">
      <c r="A11" s="3" t="s">
        <v>13</v>
      </c>
      <c r="B11" s="5">
        <v>412400</v>
      </c>
      <c r="D11" s="3" t="s">
        <v>53</v>
      </c>
      <c r="E11" s="5">
        <v>207700</v>
      </c>
    </row>
    <row r="12" spans="1:9" x14ac:dyDescent="0.3">
      <c r="A12" s="3" t="s">
        <v>30</v>
      </c>
      <c r="B12" s="5">
        <v>74800</v>
      </c>
      <c r="D12" s="3" t="s">
        <v>54</v>
      </c>
      <c r="E12" s="5">
        <v>200400</v>
      </c>
    </row>
    <row r="13" spans="1:9" x14ac:dyDescent="0.3">
      <c r="A13" s="3" t="s">
        <v>19</v>
      </c>
      <c r="B13" s="5">
        <v>611100</v>
      </c>
      <c r="D13" s="3" t="s">
        <v>55</v>
      </c>
      <c r="E13" s="5">
        <v>78400</v>
      </c>
    </row>
    <row r="14" spans="1:9" x14ac:dyDescent="0.3">
      <c r="A14" s="3" t="s">
        <v>24</v>
      </c>
      <c r="B14" s="5">
        <v>324100</v>
      </c>
      <c r="D14" s="3" t="s">
        <v>45</v>
      </c>
      <c r="E14" s="5">
        <v>1422400</v>
      </c>
    </row>
    <row r="15" spans="1:9" x14ac:dyDescent="0.3">
      <c r="A15" s="3" t="s">
        <v>45</v>
      </c>
      <c r="B15" s="5">
        <v>1422400</v>
      </c>
      <c r="I15" t="s">
        <v>57</v>
      </c>
    </row>
    <row r="17" spans="1:2" x14ac:dyDescent="0.3">
      <c r="A17" s="2" t="s">
        <v>3</v>
      </c>
      <c r="B17" t="s">
        <v>58</v>
      </c>
    </row>
    <row r="18" spans="1:2" x14ac:dyDescent="0.3">
      <c r="A18" s="3" t="s">
        <v>12</v>
      </c>
      <c r="B18" s="5">
        <v>71</v>
      </c>
    </row>
    <row r="19" spans="1:2" x14ac:dyDescent="0.3">
      <c r="A19" s="3" t="s">
        <v>28</v>
      </c>
      <c r="B19" s="5">
        <v>44</v>
      </c>
    </row>
    <row r="20" spans="1:2" x14ac:dyDescent="0.3">
      <c r="A20" s="3" t="s">
        <v>18</v>
      </c>
      <c r="B20" s="5">
        <v>61</v>
      </c>
    </row>
    <row r="21" spans="1:2" x14ac:dyDescent="0.3">
      <c r="A21" s="3" t="s">
        <v>23</v>
      </c>
      <c r="B21" s="5">
        <v>44</v>
      </c>
    </row>
    <row r="22" spans="1:2" x14ac:dyDescent="0.3">
      <c r="A22" s="3" t="s">
        <v>45</v>
      </c>
      <c r="B22" s="5">
        <v>220</v>
      </c>
    </row>
    <row r="24" spans="1:2" x14ac:dyDescent="0.3">
      <c r="A24" s="2" t="s">
        <v>56</v>
      </c>
      <c r="B24" t="s">
        <v>58</v>
      </c>
    </row>
    <row r="25" spans="1:2" x14ac:dyDescent="0.3">
      <c r="A25" s="3" t="s">
        <v>21</v>
      </c>
      <c r="B25" s="5">
        <v>83</v>
      </c>
    </row>
    <row r="26" spans="1:2" x14ac:dyDescent="0.3">
      <c r="A26" s="3" t="s">
        <v>15</v>
      </c>
      <c r="B26" s="5">
        <v>137</v>
      </c>
    </row>
    <row r="27" spans="1:2" x14ac:dyDescent="0.3">
      <c r="A27" s="3" t="s">
        <v>45</v>
      </c>
      <c r="B27" s="5">
        <v>220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708F2-50BF-4E42-86B9-B2CA573A9357}">
  <dimension ref="A1:W6"/>
  <sheetViews>
    <sheetView showGridLines="0" tabSelected="1" topLeftCell="A22" zoomScaleNormal="100" workbookViewId="0">
      <selection activeCell="T21" sqref="T21"/>
    </sheetView>
  </sheetViews>
  <sheetFormatPr defaultRowHeight="14.4" x14ac:dyDescent="0.3"/>
  <cols>
    <col min="1" max="16384" width="8.88671875" style="7"/>
  </cols>
  <sheetData>
    <row r="1" spans="1:23" ht="19.2" customHeight="1" x14ac:dyDescent="0.7">
      <c r="A1" s="4" t="s">
        <v>44</v>
      </c>
      <c r="B1" s="4"/>
      <c r="C1" s="4"/>
      <c r="D1" s="4"/>
      <c r="E1" s="4"/>
      <c r="F1" s="4"/>
      <c r="G1" s="4"/>
      <c r="H1" s="4"/>
      <c r="I1" s="4"/>
      <c r="J1" s="4"/>
      <c r="K1" s="4"/>
      <c r="L1" s="4"/>
      <c r="M1" s="4"/>
      <c r="N1" s="4"/>
      <c r="O1" s="4"/>
      <c r="P1" s="4"/>
      <c r="Q1" s="4"/>
      <c r="R1" s="4"/>
      <c r="S1" s="4"/>
      <c r="T1" s="4"/>
      <c r="U1" s="4"/>
      <c r="V1" s="6"/>
      <c r="W1" s="6"/>
    </row>
    <row r="2" spans="1:23" ht="14.4" customHeight="1" x14ac:dyDescent="0.7">
      <c r="A2" s="4"/>
      <c r="B2" s="4"/>
      <c r="C2" s="4"/>
      <c r="D2" s="4"/>
      <c r="E2" s="4"/>
      <c r="F2" s="4"/>
      <c r="G2" s="4"/>
      <c r="H2" s="4"/>
      <c r="I2" s="4"/>
      <c r="J2" s="4"/>
      <c r="K2" s="4"/>
      <c r="L2" s="4"/>
      <c r="M2" s="4"/>
      <c r="N2" s="4"/>
      <c r="O2" s="4"/>
      <c r="P2" s="4"/>
      <c r="Q2" s="4"/>
      <c r="R2" s="4"/>
      <c r="S2" s="4"/>
      <c r="T2" s="4"/>
      <c r="U2" s="4"/>
      <c r="V2" s="6"/>
      <c r="W2" s="6"/>
    </row>
    <row r="3" spans="1:23" ht="14.4" customHeight="1" x14ac:dyDescent="0.7">
      <c r="A3" s="4"/>
      <c r="B3" s="4"/>
      <c r="C3" s="4"/>
      <c r="D3" s="4"/>
      <c r="E3" s="4"/>
      <c r="F3" s="4"/>
      <c r="G3" s="4"/>
      <c r="H3" s="4"/>
      <c r="I3" s="4"/>
      <c r="J3" s="4"/>
      <c r="K3" s="4"/>
      <c r="L3" s="4"/>
      <c r="M3" s="4"/>
      <c r="N3" s="4"/>
      <c r="O3" s="4"/>
      <c r="P3" s="4"/>
      <c r="Q3" s="4"/>
      <c r="R3" s="4"/>
      <c r="S3" s="4"/>
      <c r="T3" s="4"/>
      <c r="U3" s="4"/>
      <c r="V3" s="6"/>
      <c r="W3" s="6"/>
    </row>
    <row r="4" spans="1:23" ht="14.4" customHeight="1" x14ac:dyDescent="0.7">
      <c r="A4" s="4"/>
      <c r="B4" s="4"/>
      <c r="C4" s="4"/>
      <c r="D4" s="4"/>
      <c r="E4" s="4"/>
      <c r="F4" s="4"/>
      <c r="G4" s="4"/>
      <c r="H4" s="4"/>
      <c r="I4" s="4"/>
      <c r="J4" s="4"/>
      <c r="K4" s="4"/>
      <c r="L4" s="4"/>
      <c r="M4" s="4"/>
      <c r="N4" s="4"/>
      <c r="O4" s="4"/>
      <c r="P4" s="4"/>
      <c r="Q4" s="4"/>
      <c r="R4" s="4"/>
      <c r="S4" s="4"/>
      <c r="T4" s="4"/>
      <c r="U4" s="4"/>
      <c r="V4" s="6"/>
      <c r="W4" s="6"/>
    </row>
    <row r="5" spans="1:23" ht="19.2" customHeight="1" x14ac:dyDescent="0.7">
      <c r="A5" s="4"/>
      <c r="B5" s="4"/>
      <c r="C5" s="4"/>
      <c r="D5" s="4"/>
      <c r="E5" s="4"/>
      <c r="F5" s="4"/>
      <c r="G5" s="4"/>
      <c r="H5" s="4"/>
      <c r="I5" s="4"/>
      <c r="J5" s="4"/>
      <c r="K5" s="4"/>
      <c r="L5" s="4"/>
      <c r="M5" s="4"/>
      <c r="N5" s="4"/>
      <c r="O5" s="4"/>
      <c r="P5" s="4"/>
      <c r="Q5" s="4"/>
      <c r="R5" s="4"/>
      <c r="S5" s="4"/>
      <c r="T5" s="4"/>
      <c r="U5" s="4"/>
      <c r="V5" s="6"/>
      <c r="W5" s="6"/>
    </row>
    <row r="6" spans="1:23" ht="14.4" customHeight="1" x14ac:dyDescent="0.3"/>
  </sheetData>
  <mergeCells count="1">
    <mergeCell ref="A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RAVAL KRUNAL</dc:creator>
  <cp:lastModifiedBy>RAVAL KRUNAL</cp:lastModifiedBy>
  <dcterms:created xsi:type="dcterms:W3CDTF">2026-04-21T07:13:29Z</dcterms:created>
  <dcterms:modified xsi:type="dcterms:W3CDTF">2026-04-23T07:27:02Z</dcterms:modified>
</cp:coreProperties>
</file>